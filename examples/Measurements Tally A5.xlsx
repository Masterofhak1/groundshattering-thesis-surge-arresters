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691" documentId="11_5484EC5A5B01BBEB1430E39042AE6EC922FF3F17" xr6:coauthVersionLast="47" xr6:coauthVersionMax="47" xr10:uidLastSave="{2173E071-B0F7-4453-B7A1-326294D647E1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C6" i="1"/>
  <c r="D28" i="1"/>
  <c r="D6" i="1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9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6" i="1"/>
  <c r="D46" i="1"/>
  <c r="E42" i="1"/>
  <c r="C41" i="1"/>
  <c r="E41" i="1" s="1"/>
  <c r="C40" i="1"/>
  <c r="C39" i="1"/>
  <c r="E39" i="1" s="1"/>
  <c r="E38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</calcChain>
</file>

<file path=xl/sharedStrings.xml><?xml version="1.0" encoding="utf-8"?>
<sst xmlns="http://schemas.openxmlformats.org/spreadsheetml/2006/main" count="489" uniqueCount="48">
  <si>
    <t>Arrester - A5 (Black Tape) - Depolarised</t>
  </si>
  <si>
    <t>Aim to measure at same current drawing capacity across Arresters</t>
  </si>
  <si>
    <t>200 Hz DSP</t>
  </si>
  <si>
    <t>100 Hz DSP</t>
  </si>
  <si>
    <t>2kHz DSP</t>
  </si>
  <si>
    <t>5kHz DSP</t>
  </si>
  <si>
    <t>ms</t>
  </si>
  <si>
    <t>A5_DC</t>
  </si>
  <si>
    <t>A5_10</t>
  </si>
  <si>
    <t>A5_17</t>
  </si>
  <si>
    <t>A5_27</t>
  </si>
  <si>
    <t>A5_50</t>
  </si>
  <si>
    <t>A5_100</t>
  </si>
  <si>
    <t>A5_150</t>
  </si>
  <si>
    <t>A5_300</t>
  </si>
  <si>
    <t>A5_500</t>
  </si>
  <si>
    <t>Voltage (kVp)</t>
  </si>
  <si>
    <t>Vpp on SG</t>
  </si>
  <si>
    <t>FOR DC V(offset)</t>
  </si>
  <si>
    <t>DC</t>
  </si>
  <si>
    <t>10 Hz</t>
  </si>
  <si>
    <t>17 Hz</t>
  </si>
  <si>
    <t>27 Hz</t>
  </si>
  <si>
    <t>50 Hz</t>
  </si>
  <si>
    <t>100 Hz</t>
  </si>
  <si>
    <t>150 Hz</t>
  </si>
  <si>
    <t>300 Hz</t>
  </si>
  <si>
    <t>500 Hz</t>
  </si>
  <si>
    <t>3n (Vpp in SG)</t>
  </si>
  <si>
    <t>5n (Vpp in SG)</t>
  </si>
  <si>
    <t>Not Considered</t>
  </si>
  <si>
    <t>Completed</t>
  </si>
  <si>
    <t>Freq</t>
  </si>
  <si>
    <t>Temp measured before starting (in C)</t>
  </si>
  <si>
    <t>Black Tape stick</t>
  </si>
  <si>
    <t>DC Test from Highest to lowest for DC readings, possibly cuz of Hysterisis....?</t>
  </si>
  <si>
    <t>non linear current will interject a 50Hz comp?</t>
  </si>
  <si>
    <t>Datasheet</t>
  </si>
  <si>
    <t>Important stuff</t>
  </si>
  <si>
    <t>Units</t>
  </si>
  <si>
    <t>On scope</t>
  </si>
  <si>
    <t>Ures @10kA</t>
  </si>
  <si>
    <t>kV</t>
  </si>
  <si>
    <t xml:space="preserve">Ur </t>
  </si>
  <si>
    <t>Uc</t>
  </si>
  <si>
    <t>Uref</t>
  </si>
  <si>
    <t>Iref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</si>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</sst>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0" fillId="0" borderId="1" xfId="0" applyBorder="1"/>
    <xf numFmtId="0" fontId="3" fillId="0" borderId="0" xfId="0" applyFont="1"/>
    <xf numFmtId="2" fontId="3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0" fillId="0" borderId="0" xfId="0" applyNumberFormat="1"/>
    <xf numFmtId="2" fontId="0" fillId="2" borderId="0" xfId="0" applyNumberFormat="1" applyFill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topLeftCell="A9" workbookViewId="0">
      <selection activeCell="B6" sqref="B6:B29"/>
    </sheetView>
  </sheetViews>
  <sheetFormatPr defaultRowHeight="15"/>
  <cols>
    <col min="13" max="13" width="10.85546875" bestFit="1" customWidth="1"/>
    <col min="14" max="14" width="10.5703125" bestFit="1" customWidth="1"/>
  </cols>
  <sheetData>
    <row r="1" spans="1:21" ht="26.25">
      <c r="A1" s="1" t="s">
        <v>0</v>
      </c>
    </row>
    <row r="2" spans="1:21">
      <c r="A2" t="s">
        <v>1</v>
      </c>
      <c r="E2" t="s">
        <v>2</v>
      </c>
      <c r="F2" t="s">
        <v>3</v>
      </c>
      <c r="G2" t="s">
        <v>3</v>
      </c>
      <c r="H2" t="s">
        <v>2</v>
      </c>
      <c r="I2" t="s">
        <v>4</v>
      </c>
      <c r="J2" t="s">
        <v>5</v>
      </c>
      <c r="K2" t="s">
        <v>5</v>
      </c>
      <c r="L2" t="s">
        <v>5</v>
      </c>
      <c r="M2" t="s">
        <v>5</v>
      </c>
      <c r="N2" t="s">
        <v>5</v>
      </c>
    </row>
    <row r="3" spans="1:21">
      <c r="D3" t="s">
        <v>6</v>
      </c>
      <c r="E3">
        <v>1</v>
      </c>
      <c r="F3">
        <v>100</v>
      </c>
      <c r="G3">
        <v>50</v>
      </c>
      <c r="H3">
        <v>50</v>
      </c>
      <c r="I3">
        <v>50</v>
      </c>
      <c r="J3">
        <v>50</v>
      </c>
      <c r="K3">
        <v>20</v>
      </c>
      <c r="L3">
        <v>10</v>
      </c>
      <c r="M3">
        <v>5</v>
      </c>
    </row>
    <row r="4" spans="1:21"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 spans="1:21"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s="2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P5" t="s">
        <v>28</v>
      </c>
      <c r="Q5" t="s">
        <v>29</v>
      </c>
      <c r="U5" s="2"/>
    </row>
    <row r="6" spans="1:21">
      <c r="A6">
        <v>1</v>
      </c>
      <c r="B6" s="3">
        <v>3</v>
      </c>
      <c r="C6" s="14">
        <f>4*B6/3</f>
        <v>4</v>
      </c>
      <c r="D6" s="3">
        <f>2*B6/3</f>
        <v>2</v>
      </c>
      <c r="E6" s="4" t="s">
        <v>30</v>
      </c>
      <c r="F6" s="4" t="s">
        <v>31</v>
      </c>
      <c r="G6" s="4" t="s">
        <v>31</v>
      </c>
      <c r="H6" s="4" t="s">
        <v>31</v>
      </c>
      <c r="I6" s="4" t="s">
        <v>31</v>
      </c>
      <c r="J6" s="4" t="s">
        <v>31</v>
      </c>
      <c r="K6" s="4" t="s">
        <v>31</v>
      </c>
      <c r="L6" s="18" t="s">
        <v>31</v>
      </c>
      <c r="M6" s="4" t="s">
        <v>31</v>
      </c>
      <c r="P6" s="13">
        <f>C6*0.55</f>
        <v>2.2000000000000002</v>
      </c>
      <c r="Q6" s="13">
        <f>B6*0.1</f>
        <v>0.30000000000000004</v>
      </c>
      <c r="S6" s="17" t="s">
        <v>32</v>
      </c>
      <c r="T6" s="17" t="s">
        <v>33</v>
      </c>
    </row>
    <row r="7" spans="1:21">
      <c r="A7">
        <v>2</v>
      </c>
      <c r="B7" s="3">
        <v>3.5</v>
      </c>
      <c r="C7" s="14">
        <f t="shared" ref="C7:C29" si="0">4*B7/3</f>
        <v>4.666666666666667</v>
      </c>
      <c r="D7" s="3">
        <f t="shared" ref="D7:D29" si="1">2*B7/3</f>
        <v>2.3333333333333335</v>
      </c>
      <c r="E7" s="4" t="s">
        <v>30</v>
      </c>
      <c r="F7" s="4" t="s">
        <v>31</v>
      </c>
      <c r="G7" s="4" t="s">
        <v>31</v>
      </c>
      <c r="H7" s="4" t="s">
        <v>31</v>
      </c>
      <c r="I7" s="4" t="s">
        <v>31</v>
      </c>
      <c r="J7" s="4" t="s">
        <v>31</v>
      </c>
      <c r="K7" s="4" t="s">
        <v>31</v>
      </c>
      <c r="L7" s="18" t="s">
        <v>31</v>
      </c>
      <c r="M7" s="4" t="s">
        <v>31</v>
      </c>
      <c r="P7" s="13">
        <f t="shared" ref="P7:P29" si="2">C7*0.55</f>
        <v>2.5666666666666669</v>
      </c>
      <c r="Q7" s="13">
        <f t="shared" ref="Q7:Q29" si="3">B7*0.1</f>
        <v>0.35000000000000003</v>
      </c>
      <c r="S7" s="4"/>
      <c r="T7" s="4"/>
    </row>
    <row r="8" spans="1:21">
      <c r="A8">
        <v>3</v>
      </c>
      <c r="B8" s="3">
        <v>3.7</v>
      </c>
      <c r="C8" s="14">
        <f t="shared" si="0"/>
        <v>4.9333333333333336</v>
      </c>
      <c r="D8" s="3">
        <f t="shared" si="1"/>
        <v>2.4666666666666668</v>
      </c>
      <c r="E8" s="4" t="s">
        <v>30</v>
      </c>
      <c r="F8" s="4" t="s">
        <v>31</v>
      </c>
      <c r="G8" s="4" t="s">
        <v>31</v>
      </c>
      <c r="H8" s="4" t="s">
        <v>31</v>
      </c>
      <c r="I8" s="4" t="s">
        <v>31</v>
      </c>
      <c r="J8" s="4" t="s">
        <v>31</v>
      </c>
      <c r="K8" s="4" t="s">
        <v>31</v>
      </c>
      <c r="L8" s="18" t="s">
        <v>31</v>
      </c>
      <c r="M8" s="4" t="s">
        <v>31</v>
      </c>
      <c r="P8" s="13">
        <f t="shared" si="2"/>
        <v>2.7133333333333338</v>
      </c>
      <c r="Q8" s="13">
        <f t="shared" si="3"/>
        <v>0.37000000000000005</v>
      </c>
      <c r="S8" s="16" t="s">
        <v>20</v>
      </c>
      <c r="T8" s="16">
        <v>22.6</v>
      </c>
    </row>
    <row r="9" spans="1:21">
      <c r="A9">
        <v>4</v>
      </c>
      <c r="B9" s="3">
        <v>4</v>
      </c>
      <c r="C9" s="14">
        <f t="shared" si="0"/>
        <v>5.333333333333333</v>
      </c>
      <c r="D9" s="3">
        <f t="shared" si="1"/>
        <v>2.6666666666666665</v>
      </c>
      <c r="E9" s="4" t="s">
        <v>30</v>
      </c>
      <c r="F9" s="4" t="s">
        <v>31</v>
      </c>
      <c r="G9" s="4" t="s">
        <v>31</v>
      </c>
      <c r="H9" s="4" t="s">
        <v>31</v>
      </c>
      <c r="I9" s="4" t="s">
        <v>31</v>
      </c>
      <c r="J9" s="4" t="s">
        <v>31</v>
      </c>
      <c r="K9" s="4" t="s">
        <v>31</v>
      </c>
      <c r="L9" s="18" t="s">
        <v>31</v>
      </c>
      <c r="M9" s="4" t="s">
        <v>31</v>
      </c>
      <c r="P9" s="13">
        <f t="shared" si="2"/>
        <v>2.9333333333333336</v>
      </c>
      <c r="Q9" s="13">
        <f t="shared" si="3"/>
        <v>0.4</v>
      </c>
      <c r="S9" s="4" t="s">
        <v>21</v>
      </c>
      <c r="T9" s="4">
        <v>22.8</v>
      </c>
    </row>
    <row r="10" spans="1:21">
      <c r="A10">
        <v>5</v>
      </c>
      <c r="B10" s="3">
        <v>4.4000000000000004</v>
      </c>
      <c r="C10" s="14">
        <f t="shared" si="0"/>
        <v>5.8666666666666671</v>
      </c>
      <c r="D10" s="3">
        <f t="shared" si="1"/>
        <v>2.9333333333333336</v>
      </c>
      <c r="E10" s="4" t="s">
        <v>30</v>
      </c>
      <c r="F10" s="4" t="s">
        <v>31</v>
      </c>
      <c r="G10" s="4" t="s">
        <v>31</v>
      </c>
      <c r="H10" s="4" t="s">
        <v>31</v>
      </c>
      <c r="I10" s="4" t="s">
        <v>31</v>
      </c>
      <c r="J10" s="4" t="s">
        <v>31</v>
      </c>
      <c r="K10" s="4" t="s">
        <v>31</v>
      </c>
      <c r="L10" s="18" t="s">
        <v>31</v>
      </c>
      <c r="M10" s="4" t="s">
        <v>31</v>
      </c>
      <c r="P10" s="13">
        <f t="shared" si="2"/>
        <v>3.226666666666667</v>
      </c>
      <c r="Q10" s="13">
        <f t="shared" si="3"/>
        <v>0.44000000000000006</v>
      </c>
      <c r="S10" s="15" t="s">
        <v>22</v>
      </c>
      <c r="T10" s="4">
        <v>23</v>
      </c>
    </row>
    <row r="11" spans="1:21">
      <c r="A11">
        <v>6</v>
      </c>
      <c r="B11" s="3">
        <v>4.7</v>
      </c>
      <c r="C11" s="14">
        <f t="shared" si="0"/>
        <v>6.2666666666666666</v>
      </c>
      <c r="D11" s="3">
        <f t="shared" si="1"/>
        <v>3.1333333333333333</v>
      </c>
      <c r="E11" s="4" t="s">
        <v>30</v>
      </c>
      <c r="F11" s="4" t="s">
        <v>31</v>
      </c>
      <c r="G11" s="4" t="s">
        <v>31</v>
      </c>
      <c r="H11" s="4" t="s">
        <v>31</v>
      </c>
      <c r="I11" s="4" t="s">
        <v>31</v>
      </c>
      <c r="J11" s="4" t="s">
        <v>31</v>
      </c>
      <c r="K11" s="4" t="s">
        <v>31</v>
      </c>
      <c r="L11" s="18" t="s">
        <v>31</v>
      </c>
      <c r="M11" s="4" t="s">
        <v>31</v>
      </c>
      <c r="P11" s="13">
        <f t="shared" si="2"/>
        <v>3.4466666666666668</v>
      </c>
      <c r="Q11" s="13">
        <f t="shared" si="3"/>
        <v>0.47000000000000003</v>
      </c>
      <c r="S11" s="4" t="s">
        <v>23</v>
      </c>
      <c r="T11" s="4">
        <v>23.5</v>
      </c>
    </row>
    <row r="12" spans="1:21">
      <c r="A12">
        <v>7</v>
      </c>
      <c r="B12" s="3">
        <v>5</v>
      </c>
      <c r="C12" s="14">
        <f t="shared" si="0"/>
        <v>6.666666666666667</v>
      </c>
      <c r="D12" s="3">
        <f t="shared" si="1"/>
        <v>3.3333333333333335</v>
      </c>
      <c r="E12" s="4" t="s">
        <v>30</v>
      </c>
      <c r="F12" s="4" t="s">
        <v>31</v>
      </c>
      <c r="G12" s="4" t="s">
        <v>31</v>
      </c>
      <c r="H12" s="4" t="s">
        <v>31</v>
      </c>
      <c r="I12" s="4" t="s">
        <v>31</v>
      </c>
      <c r="J12" s="4" t="s">
        <v>31</v>
      </c>
      <c r="K12" s="4" t="s">
        <v>31</v>
      </c>
      <c r="L12" s="18" t="s">
        <v>31</v>
      </c>
      <c r="M12" s="4" t="s">
        <v>31</v>
      </c>
      <c r="P12" s="13">
        <f t="shared" si="2"/>
        <v>3.666666666666667</v>
      </c>
      <c r="Q12" s="13">
        <f t="shared" si="3"/>
        <v>0.5</v>
      </c>
      <c r="S12" s="4" t="s">
        <v>24</v>
      </c>
      <c r="T12" s="4">
        <v>24.2</v>
      </c>
    </row>
    <row r="13" spans="1:21">
      <c r="A13">
        <v>8</v>
      </c>
      <c r="B13" s="3">
        <v>5.3</v>
      </c>
      <c r="C13" s="14">
        <f t="shared" si="0"/>
        <v>7.0666666666666664</v>
      </c>
      <c r="D13" s="3">
        <f t="shared" si="1"/>
        <v>3.5333333333333332</v>
      </c>
      <c r="E13" s="4" t="s">
        <v>30</v>
      </c>
      <c r="F13" s="4" t="s">
        <v>31</v>
      </c>
      <c r="G13" s="4" t="s">
        <v>31</v>
      </c>
      <c r="H13" s="4" t="s">
        <v>31</v>
      </c>
      <c r="I13" s="4" t="s">
        <v>31</v>
      </c>
      <c r="J13" s="4" t="s">
        <v>31</v>
      </c>
      <c r="K13" s="4" t="s">
        <v>31</v>
      </c>
      <c r="L13" s="18" t="s">
        <v>31</v>
      </c>
      <c r="M13" s="4" t="s">
        <v>31</v>
      </c>
      <c r="P13" s="13">
        <f t="shared" si="2"/>
        <v>3.8866666666666667</v>
      </c>
      <c r="Q13" s="13">
        <f t="shared" si="3"/>
        <v>0.53</v>
      </c>
      <c r="S13" s="4" t="s">
        <v>25</v>
      </c>
      <c r="T13" s="4">
        <v>23.6</v>
      </c>
    </row>
    <row r="14" spans="1:21">
      <c r="A14">
        <v>9</v>
      </c>
      <c r="B14" s="3">
        <v>5.6</v>
      </c>
      <c r="C14" s="14">
        <f t="shared" si="0"/>
        <v>7.4666666666666659</v>
      </c>
      <c r="D14" s="3">
        <f t="shared" si="1"/>
        <v>3.7333333333333329</v>
      </c>
      <c r="E14" s="4" t="s">
        <v>30</v>
      </c>
      <c r="F14" s="4" t="s">
        <v>31</v>
      </c>
      <c r="G14" s="4" t="s">
        <v>31</v>
      </c>
      <c r="H14" s="4" t="s">
        <v>31</v>
      </c>
      <c r="I14" s="4" t="s">
        <v>31</v>
      </c>
      <c r="J14" s="4" t="s">
        <v>31</v>
      </c>
      <c r="K14" s="4" t="s">
        <v>31</v>
      </c>
      <c r="L14" s="18" t="s">
        <v>31</v>
      </c>
      <c r="M14" s="4" t="s">
        <v>31</v>
      </c>
      <c r="P14" s="13">
        <f t="shared" si="2"/>
        <v>4.1066666666666665</v>
      </c>
      <c r="Q14" s="13">
        <f t="shared" si="3"/>
        <v>0.55999999999999994</v>
      </c>
      <c r="S14" s="17" t="s">
        <v>26</v>
      </c>
      <c r="T14" s="17">
        <v>24</v>
      </c>
    </row>
    <row r="15" spans="1:21">
      <c r="A15">
        <v>10</v>
      </c>
      <c r="B15" s="3">
        <v>5.9</v>
      </c>
      <c r="C15" s="14">
        <f t="shared" si="0"/>
        <v>7.8666666666666671</v>
      </c>
      <c r="D15" s="3">
        <f t="shared" si="1"/>
        <v>3.9333333333333336</v>
      </c>
      <c r="E15" s="4" t="s">
        <v>30</v>
      </c>
      <c r="F15" s="4" t="s">
        <v>31</v>
      </c>
      <c r="G15" s="4" t="s">
        <v>31</v>
      </c>
      <c r="H15" s="4" t="s">
        <v>31</v>
      </c>
      <c r="I15" s="4" t="s">
        <v>31</v>
      </c>
      <c r="J15" s="4" t="s">
        <v>31</v>
      </c>
      <c r="K15" s="4" t="s">
        <v>31</v>
      </c>
      <c r="L15" s="18" t="s">
        <v>31</v>
      </c>
      <c r="M15" s="4" t="s">
        <v>31</v>
      </c>
      <c r="P15" s="13">
        <f t="shared" si="2"/>
        <v>4.3266666666666671</v>
      </c>
      <c r="Q15" s="13">
        <f t="shared" si="3"/>
        <v>0.59000000000000008</v>
      </c>
      <c r="S15" s="4" t="s">
        <v>27</v>
      </c>
      <c r="T15" s="4">
        <v>24.2</v>
      </c>
    </row>
    <row r="16" spans="1:21">
      <c r="A16">
        <v>11</v>
      </c>
      <c r="B16" s="3">
        <v>6.3</v>
      </c>
      <c r="C16" s="14">
        <f t="shared" si="0"/>
        <v>8.4</v>
      </c>
      <c r="D16" s="3">
        <f t="shared" si="1"/>
        <v>4.2</v>
      </c>
      <c r="E16" s="4" t="s">
        <v>30</v>
      </c>
      <c r="F16" s="4" t="s">
        <v>31</v>
      </c>
      <c r="G16" s="4" t="s">
        <v>31</v>
      </c>
      <c r="H16" s="4" t="s">
        <v>31</v>
      </c>
      <c r="I16" s="4" t="s">
        <v>31</v>
      </c>
      <c r="J16" s="4" t="s">
        <v>31</v>
      </c>
      <c r="K16" s="4" t="s">
        <v>31</v>
      </c>
      <c r="L16" s="18" t="s">
        <v>31</v>
      </c>
      <c r="M16" s="4" t="s">
        <v>31</v>
      </c>
      <c r="P16" s="13">
        <f t="shared" si="2"/>
        <v>4.620000000000001</v>
      </c>
      <c r="Q16" s="13">
        <f t="shared" si="3"/>
        <v>0.63</v>
      </c>
      <c r="T16">
        <v>24.6</v>
      </c>
    </row>
    <row r="17" spans="1:19">
      <c r="A17">
        <v>12</v>
      </c>
      <c r="B17" s="3">
        <v>6.8</v>
      </c>
      <c r="C17" s="14">
        <f t="shared" si="0"/>
        <v>9.0666666666666664</v>
      </c>
      <c r="D17" s="3">
        <f t="shared" si="1"/>
        <v>4.5333333333333332</v>
      </c>
      <c r="E17" s="4" t="s">
        <v>30</v>
      </c>
      <c r="F17" s="4" t="s">
        <v>31</v>
      </c>
      <c r="G17" s="4" t="s">
        <v>31</v>
      </c>
      <c r="H17" s="4" t="s">
        <v>31</v>
      </c>
      <c r="I17" s="4" t="s">
        <v>31</v>
      </c>
      <c r="J17" s="4" t="s">
        <v>31</v>
      </c>
      <c r="K17" s="4" t="s">
        <v>31</v>
      </c>
      <c r="L17" s="18" t="s">
        <v>31</v>
      </c>
      <c r="M17" s="4" t="s">
        <v>31</v>
      </c>
      <c r="P17" s="13">
        <f t="shared" si="2"/>
        <v>4.9866666666666672</v>
      </c>
      <c r="Q17" s="13">
        <f t="shared" si="3"/>
        <v>0.68</v>
      </c>
      <c r="S17" t="s">
        <v>34</v>
      </c>
    </row>
    <row r="18" spans="1:19">
      <c r="A18">
        <v>13</v>
      </c>
      <c r="B18" s="3">
        <v>7.2</v>
      </c>
      <c r="C18" s="14">
        <f t="shared" si="0"/>
        <v>9.6</v>
      </c>
      <c r="D18" s="3">
        <f t="shared" si="1"/>
        <v>4.8</v>
      </c>
      <c r="E18" s="4" t="s">
        <v>31</v>
      </c>
      <c r="F18" s="4" t="s">
        <v>31</v>
      </c>
      <c r="G18" s="4" t="s">
        <v>31</v>
      </c>
      <c r="H18" s="4" t="s">
        <v>31</v>
      </c>
      <c r="I18" s="4" t="s">
        <v>31</v>
      </c>
      <c r="J18" s="4" t="s">
        <v>31</v>
      </c>
      <c r="K18" s="4" t="s">
        <v>31</v>
      </c>
      <c r="L18" s="18" t="s">
        <v>31</v>
      </c>
      <c r="M18" s="4" t="s">
        <v>31</v>
      </c>
      <c r="P18" s="13">
        <f t="shared" si="2"/>
        <v>5.28</v>
      </c>
      <c r="Q18" s="13">
        <f t="shared" si="3"/>
        <v>0.72000000000000008</v>
      </c>
    </row>
    <row r="19" spans="1:19">
      <c r="A19" s="5">
        <v>14</v>
      </c>
      <c r="B19" s="6">
        <v>7.7</v>
      </c>
      <c r="C19" s="14">
        <f t="shared" si="0"/>
        <v>10.266666666666667</v>
      </c>
      <c r="D19" s="3">
        <f t="shared" si="1"/>
        <v>5.1333333333333337</v>
      </c>
      <c r="E19" s="4" t="s">
        <v>31</v>
      </c>
      <c r="F19" s="4" t="s">
        <v>31</v>
      </c>
      <c r="G19" s="4" t="s">
        <v>31</v>
      </c>
      <c r="H19" s="4" t="s">
        <v>31</v>
      </c>
      <c r="I19" s="4" t="s">
        <v>31</v>
      </c>
      <c r="J19" s="4" t="s">
        <v>31</v>
      </c>
      <c r="K19" s="4" t="s">
        <v>31</v>
      </c>
      <c r="L19" s="18" t="s">
        <v>31</v>
      </c>
      <c r="M19" s="4" t="s">
        <v>31</v>
      </c>
      <c r="P19" s="13">
        <f t="shared" si="2"/>
        <v>5.6466666666666674</v>
      </c>
      <c r="Q19" s="13">
        <f t="shared" si="3"/>
        <v>0.77</v>
      </c>
    </row>
    <row r="20" spans="1:19">
      <c r="A20" s="5">
        <v>15</v>
      </c>
      <c r="B20" s="6">
        <v>8.1999999999999993</v>
      </c>
      <c r="C20" s="14">
        <f t="shared" si="0"/>
        <v>10.933333333333332</v>
      </c>
      <c r="D20" s="3">
        <f t="shared" si="1"/>
        <v>5.4666666666666659</v>
      </c>
      <c r="E20" s="4" t="s">
        <v>31</v>
      </c>
      <c r="F20" s="4" t="s">
        <v>31</v>
      </c>
      <c r="G20" s="4" t="s">
        <v>31</v>
      </c>
      <c r="H20" s="4" t="s">
        <v>31</v>
      </c>
      <c r="I20" s="4" t="s">
        <v>31</v>
      </c>
      <c r="J20" s="4" t="s">
        <v>31</v>
      </c>
      <c r="K20" s="4" t="s">
        <v>31</v>
      </c>
      <c r="L20" s="18" t="s">
        <v>31</v>
      </c>
      <c r="M20" s="4" t="s">
        <v>31</v>
      </c>
      <c r="P20" s="13">
        <f t="shared" si="2"/>
        <v>6.0133333333333328</v>
      </c>
      <c r="Q20" s="13">
        <f t="shared" si="3"/>
        <v>0.82</v>
      </c>
    </row>
    <row r="21" spans="1:19">
      <c r="A21">
        <v>16</v>
      </c>
      <c r="B21" s="3">
        <v>8.6</v>
      </c>
      <c r="C21" s="14">
        <f t="shared" si="0"/>
        <v>11.466666666666667</v>
      </c>
      <c r="D21" s="3">
        <f t="shared" si="1"/>
        <v>5.7333333333333334</v>
      </c>
      <c r="E21" s="4" t="s">
        <v>31</v>
      </c>
      <c r="F21" s="4" t="s">
        <v>31</v>
      </c>
      <c r="G21" s="4" t="s">
        <v>31</v>
      </c>
      <c r="H21" s="4" t="s">
        <v>31</v>
      </c>
      <c r="I21" s="4" t="s">
        <v>31</v>
      </c>
      <c r="J21" s="4" t="s">
        <v>31</v>
      </c>
      <c r="K21" s="4" t="s">
        <v>31</v>
      </c>
      <c r="L21" s="18" t="s">
        <v>31</v>
      </c>
      <c r="M21" s="4" t="s">
        <v>31</v>
      </c>
      <c r="P21" s="13">
        <f t="shared" si="2"/>
        <v>6.3066666666666675</v>
      </c>
      <c r="Q21" s="13">
        <f t="shared" si="3"/>
        <v>0.86</v>
      </c>
    </row>
    <row r="22" spans="1:19">
      <c r="A22">
        <v>17</v>
      </c>
      <c r="B22" s="3">
        <v>9</v>
      </c>
      <c r="C22" s="14">
        <f t="shared" si="0"/>
        <v>12</v>
      </c>
      <c r="D22" s="3">
        <f t="shared" si="1"/>
        <v>6</v>
      </c>
      <c r="E22" s="4" t="s">
        <v>31</v>
      </c>
      <c r="F22" s="4" t="s">
        <v>31</v>
      </c>
      <c r="G22" s="4" t="s">
        <v>31</v>
      </c>
      <c r="H22" s="4" t="s">
        <v>31</v>
      </c>
      <c r="I22" s="4" t="s">
        <v>31</v>
      </c>
      <c r="J22" s="4" t="s">
        <v>31</v>
      </c>
      <c r="K22" s="4" t="s">
        <v>31</v>
      </c>
      <c r="L22" s="18" t="s">
        <v>31</v>
      </c>
      <c r="M22" s="4" t="s">
        <v>31</v>
      </c>
      <c r="P22" s="13">
        <f t="shared" si="2"/>
        <v>6.6000000000000005</v>
      </c>
      <c r="Q22" s="13">
        <f t="shared" si="3"/>
        <v>0.9</v>
      </c>
    </row>
    <row r="23" spans="1:19">
      <c r="A23">
        <v>18</v>
      </c>
      <c r="B23" s="3">
        <v>9.1999999999999993</v>
      </c>
      <c r="C23" s="14">
        <f t="shared" si="0"/>
        <v>12.266666666666666</v>
      </c>
      <c r="D23" s="3">
        <f t="shared" si="1"/>
        <v>6.1333333333333329</v>
      </c>
      <c r="E23" s="4" t="s">
        <v>31</v>
      </c>
      <c r="F23" s="4" t="s">
        <v>31</v>
      </c>
      <c r="G23" s="4" t="s">
        <v>31</v>
      </c>
      <c r="H23" s="4" t="s">
        <v>31</v>
      </c>
      <c r="I23" s="4" t="s">
        <v>31</v>
      </c>
      <c r="J23" s="4" t="s">
        <v>31</v>
      </c>
      <c r="K23" s="4" t="s">
        <v>31</v>
      </c>
      <c r="L23" s="18" t="s">
        <v>31</v>
      </c>
      <c r="M23" s="4" t="s">
        <v>31</v>
      </c>
      <c r="P23" s="13">
        <f t="shared" si="2"/>
        <v>6.746666666666667</v>
      </c>
      <c r="Q23" s="13">
        <f t="shared" si="3"/>
        <v>0.91999999999999993</v>
      </c>
    </row>
    <row r="24" spans="1:19">
      <c r="A24">
        <v>19</v>
      </c>
      <c r="B24" s="3">
        <v>9.5</v>
      </c>
      <c r="C24" s="14">
        <f t="shared" si="0"/>
        <v>12.666666666666666</v>
      </c>
      <c r="D24" s="3">
        <f t="shared" si="1"/>
        <v>6.333333333333333</v>
      </c>
      <c r="E24" s="4" t="s">
        <v>31</v>
      </c>
      <c r="F24" s="4" t="s">
        <v>31</v>
      </c>
      <c r="G24" s="4" t="s">
        <v>31</v>
      </c>
      <c r="H24" s="4" t="s">
        <v>31</v>
      </c>
      <c r="I24" s="4" t="s">
        <v>31</v>
      </c>
      <c r="J24" s="4" t="s">
        <v>31</v>
      </c>
      <c r="K24" s="4" t="s">
        <v>31</v>
      </c>
      <c r="L24" s="18" t="s">
        <v>31</v>
      </c>
      <c r="M24" s="4" t="s">
        <v>31</v>
      </c>
      <c r="P24" s="13">
        <f t="shared" si="2"/>
        <v>6.9666666666666668</v>
      </c>
      <c r="Q24" s="13">
        <f t="shared" si="3"/>
        <v>0.95000000000000007</v>
      </c>
    </row>
    <row r="25" spans="1:19">
      <c r="A25">
        <v>20</v>
      </c>
      <c r="B25" s="3">
        <v>9.6999999999999993</v>
      </c>
      <c r="C25" s="14">
        <f t="shared" si="0"/>
        <v>12.933333333333332</v>
      </c>
      <c r="D25" s="3">
        <f t="shared" si="1"/>
        <v>6.4666666666666659</v>
      </c>
      <c r="E25" s="4" t="s">
        <v>31</v>
      </c>
      <c r="F25" s="4" t="s">
        <v>31</v>
      </c>
      <c r="G25" s="4" t="s">
        <v>31</v>
      </c>
      <c r="H25" s="4" t="s">
        <v>31</v>
      </c>
      <c r="I25" s="4" t="s">
        <v>31</v>
      </c>
      <c r="J25" s="4" t="s">
        <v>31</v>
      </c>
      <c r="K25" s="4" t="s">
        <v>31</v>
      </c>
      <c r="L25" s="18" t="s">
        <v>31</v>
      </c>
      <c r="M25" s="4" t="s">
        <v>31</v>
      </c>
      <c r="P25" s="13">
        <f t="shared" si="2"/>
        <v>7.1133333333333333</v>
      </c>
      <c r="Q25" s="13">
        <f t="shared" si="3"/>
        <v>0.97</v>
      </c>
    </row>
    <row r="26" spans="1:19">
      <c r="A26">
        <v>21</v>
      </c>
      <c r="B26" s="3">
        <v>10</v>
      </c>
      <c r="C26" s="14">
        <f t="shared" si="0"/>
        <v>13.333333333333334</v>
      </c>
      <c r="D26" s="3">
        <f t="shared" si="1"/>
        <v>6.666666666666667</v>
      </c>
      <c r="E26" s="4" t="s">
        <v>31</v>
      </c>
      <c r="F26" s="4" t="s">
        <v>31</v>
      </c>
      <c r="G26" s="4" t="s">
        <v>31</v>
      </c>
      <c r="H26" s="4" t="s">
        <v>31</v>
      </c>
      <c r="I26" s="4" t="s">
        <v>31</v>
      </c>
      <c r="J26" s="4" t="s">
        <v>31</v>
      </c>
      <c r="K26" s="4" t="s">
        <v>31</v>
      </c>
      <c r="L26" s="18" t="s">
        <v>31</v>
      </c>
      <c r="M26" s="17" t="s">
        <v>31</v>
      </c>
      <c r="P26" s="13">
        <f t="shared" si="2"/>
        <v>7.3333333333333339</v>
      </c>
      <c r="Q26" s="13">
        <f t="shared" si="3"/>
        <v>1</v>
      </c>
    </row>
    <row r="27" spans="1:19">
      <c r="A27">
        <v>22</v>
      </c>
      <c r="B27" s="3">
        <v>10.199999999999999</v>
      </c>
      <c r="C27" s="14">
        <f t="shared" si="0"/>
        <v>13.6</v>
      </c>
      <c r="D27" s="3">
        <f t="shared" si="1"/>
        <v>6.8</v>
      </c>
      <c r="E27" s="4" t="s">
        <v>31</v>
      </c>
      <c r="F27" s="4" t="s">
        <v>30</v>
      </c>
      <c r="G27" s="4" t="s">
        <v>30</v>
      </c>
      <c r="H27" s="4" t="s">
        <v>30</v>
      </c>
      <c r="I27" s="4" t="s">
        <v>30</v>
      </c>
      <c r="J27" s="4" t="s">
        <v>30</v>
      </c>
      <c r="K27" s="4" t="s">
        <v>30</v>
      </c>
      <c r="L27" s="18" t="s">
        <v>30</v>
      </c>
      <c r="M27" s="4" t="s">
        <v>30</v>
      </c>
      <c r="P27" s="13">
        <f t="shared" si="2"/>
        <v>7.48</v>
      </c>
      <c r="Q27" s="13">
        <f t="shared" si="3"/>
        <v>1.02</v>
      </c>
    </row>
    <row r="28" spans="1:19">
      <c r="A28">
        <v>23</v>
      </c>
      <c r="B28" s="3">
        <v>10.5</v>
      </c>
      <c r="C28" s="14">
        <f t="shared" si="0"/>
        <v>14</v>
      </c>
      <c r="D28" s="3">
        <f t="shared" si="1"/>
        <v>7</v>
      </c>
      <c r="E28" s="4" t="s">
        <v>30</v>
      </c>
      <c r="F28" s="4" t="s">
        <v>30</v>
      </c>
      <c r="G28" s="4" t="s">
        <v>30</v>
      </c>
      <c r="H28" s="4" t="s">
        <v>30</v>
      </c>
      <c r="I28" s="4" t="s">
        <v>30</v>
      </c>
      <c r="J28" s="4" t="s">
        <v>30</v>
      </c>
      <c r="K28" s="4" t="s">
        <v>30</v>
      </c>
      <c r="L28" s="18" t="s">
        <v>30</v>
      </c>
      <c r="M28" s="4" t="s">
        <v>30</v>
      </c>
      <c r="P28" s="13">
        <f t="shared" si="2"/>
        <v>7.7000000000000011</v>
      </c>
      <c r="Q28" s="13">
        <f t="shared" si="3"/>
        <v>1.05</v>
      </c>
    </row>
    <row r="29" spans="1:19">
      <c r="A29">
        <v>24</v>
      </c>
      <c r="B29" s="3">
        <v>15</v>
      </c>
      <c r="C29" s="14">
        <f t="shared" si="0"/>
        <v>20</v>
      </c>
      <c r="D29" s="3">
        <f t="shared" si="1"/>
        <v>10</v>
      </c>
      <c r="E29" s="4" t="s">
        <v>30</v>
      </c>
      <c r="F29" s="4" t="s">
        <v>30</v>
      </c>
      <c r="G29" s="4" t="s">
        <v>30</v>
      </c>
      <c r="H29" s="4" t="s">
        <v>30</v>
      </c>
      <c r="I29" s="4" t="s">
        <v>30</v>
      </c>
      <c r="J29" s="4" t="s">
        <v>30</v>
      </c>
      <c r="K29" s="4" t="s">
        <v>30</v>
      </c>
      <c r="L29" s="18" t="s">
        <v>30</v>
      </c>
      <c r="M29" s="4" t="s">
        <v>30</v>
      </c>
      <c r="P29" s="13">
        <f t="shared" si="2"/>
        <v>11</v>
      </c>
      <c r="Q29" s="13">
        <f t="shared" si="3"/>
        <v>1.5</v>
      </c>
    </row>
    <row r="30" spans="1:19">
      <c r="G30">
        <v>26</v>
      </c>
      <c r="H30">
        <v>26.2</v>
      </c>
    </row>
    <row r="31" spans="1:19">
      <c r="B31" t="s">
        <v>35</v>
      </c>
    </row>
    <row r="33" spans="2:6">
      <c r="B33" t="s">
        <v>36</v>
      </c>
    </row>
    <row r="37" spans="2:6" ht="21">
      <c r="B37" s="8" t="s">
        <v>37</v>
      </c>
      <c r="C37" s="9" t="s">
        <v>38</v>
      </c>
      <c r="D37" t="s">
        <v>39</v>
      </c>
      <c r="E37" t="s">
        <v>40</v>
      </c>
    </row>
    <row r="38" spans="2:6">
      <c r="B38" s="7" t="s">
        <v>41</v>
      </c>
      <c r="C38" s="7">
        <v>16.440000000000001</v>
      </c>
      <c r="D38" s="10" t="s">
        <v>42</v>
      </c>
      <c r="E38" s="3">
        <f>2*C38/3</f>
        <v>10.96</v>
      </c>
      <c r="F38" s="3"/>
    </row>
    <row r="39" spans="2:6">
      <c r="B39" s="11" t="s">
        <v>43</v>
      </c>
      <c r="C39" s="11">
        <f>C38*0.425</f>
        <v>6.9870000000000001</v>
      </c>
      <c r="D39" s="12" t="s">
        <v>42</v>
      </c>
      <c r="E39" s="6">
        <f t="shared" ref="E39:E42" si="4">2*C39/3</f>
        <v>4.6580000000000004</v>
      </c>
      <c r="F39" s="6"/>
    </row>
    <row r="40" spans="2:6">
      <c r="B40" s="11" t="s">
        <v>44</v>
      </c>
      <c r="C40" s="11">
        <f>C38/3</f>
        <v>5.48</v>
      </c>
      <c r="D40" s="12" t="s">
        <v>42</v>
      </c>
      <c r="E40" s="6">
        <f>2*C40/3</f>
        <v>3.6533333333333338</v>
      </c>
      <c r="F40" s="6"/>
    </row>
    <row r="41" spans="2:6">
      <c r="B41" s="7" t="s">
        <v>45</v>
      </c>
      <c r="C41" s="7">
        <f>C38*0.425</f>
        <v>6.9870000000000001</v>
      </c>
      <c r="D41" s="10" t="s">
        <v>42</v>
      </c>
      <c r="E41" s="3">
        <f t="shared" si="4"/>
        <v>4.6580000000000004</v>
      </c>
      <c r="F41" s="3"/>
    </row>
    <row r="42" spans="2:6">
      <c r="B42" s="7" t="s">
        <v>46</v>
      </c>
      <c r="C42" s="7">
        <v>5</v>
      </c>
      <c r="D42" s="10" t="s">
        <v>47</v>
      </c>
      <c r="E42" s="3">
        <f t="shared" si="4"/>
        <v>3.3333333333333335</v>
      </c>
      <c r="F42" s="3"/>
    </row>
    <row r="46" spans="2:6">
      <c r="C46">
        <v>3.5000000000000003E-2</v>
      </c>
      <c r="D46">
        <f>C46/3</f>
        <v>1.1666666666666667E-2</v>
      </c>
    </row>
  </sheetData>
  <conditionalFormatting sqref="E6:N29">
    <cfRule type="cellIs" dxfId="17" priority="24" operator="equal">
      <formula>"Completed"</formula>
    </cfRule>
  </conditionalFormatting>
  <conditionalFormatting sqref="E6:N29">
    <cfRule type="cellIs" dxfId="16" priority="23" operator="equal">
      <formula>"Incomplete"</formula>
    </cfRule>
  </conditionalFormatting>
  <conditionalFormatting sqref="E28:N28 I15:I26 E16:N16 E22:N22 E14:N14 E20:N20 E24:N24 J17:M26 J17:J29 H17:H29">
    <cfRule type="cellIs" dxfId="15" priority="22" operator="equal">
      <formula>"Completed"</formula>
    </cfRule>
  </conditionalFormatting>
  <conditionalFormatting sqref="E28:N28 I15:I26 E16:N16 E22:N22 E14:N14 E20:N20 E24:N24 J17:M26 J17:J29 H17:H29">
    <cfRule type="cellIs" dxfId="14" priority="21" operator="equal">
      <formula>"Incomplete"</formula>
    </cfRule>
  </conditionalFormatting>
  <conditionalFormatting sqref="E29:N29">
    <cfRule type="cellIs" dxfId="13" priority="20" operator="equal">
      <formula>"Completed"</formula>
    </cfRule>
  </conditionalFormatting>
  <conditionalFormatting sqref="E29:N29">
    <cfRule type="cellIs" dxfId="12" priority="19" operator="equal">
      <formula>"Incomplete"</formula>
    </cfRule>
  </conditionalFormatting>
  <conditionalFormatting sqref="E6:N29">
    <cfRule type="cellIs" dxfId="11" priority="18" operator="equal">
      <formula>"Current Limit"</formula>
    </cfRule>
  </conditionalFormatting>
  <conditionalFormatting sqref="E29:N29">
    <cfRule type="cellIs" dxfId="10" priority="17" operator="equal">
      <formula>"Completed"</formula>
    </cfRule>
  </conditionalFormatting>
  <conditionalFormatting sqref="E29:N29">
    <cfRule type="cellIs" dxfId="9" priority="16" operator="equal">
      <formula>"Incomplete"</formula>
    </cfRule>
  </conditionalFormatting>
  <conditionalFormatting sqref="E6:E17">
    <cfRule type="cellIs" dxfId="8" priority="2" operator="equal">
      <formula>"Completed"</formula>
    </cfRule>
  </conditionalFormatting>
  <conditionalFormatting sqref="E6:E17">
    <cfRule type="cellIs" dxfId="7" priority="1" operator="equal">
      <formula>"Incomplete"</formula>
    </cfRule>
  </conditionalFormatting>
  <dataValidations count="2">
    <dataValidation type="list" allowBlank="1" showInputMessage="1" showErrorMessage="1" sqref="N6:N29 F6:M26 E18:E26" xr:uid="{8735B3D3-EBC6-4397-8DB8-B6A8BCCE0D8F}">
      <formula1>"Completed, Incomplete"</formula1>
    </dataValidation>
    <dataValidation type="list" allowBlank="1" showInputMessage="1" showErrorMessage="1" sqref="E27:M29 E6:E17" xr:uid="{AE4A5879-20CE-413F-AE74-AC551EDDDF43}">
      <formula1>"Completed, Incomplete, Not Considered"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4D6B-9824-4ECB-902D-7A31944587AA}">
  <dimension ref="A1:T37"/>
  <sheetViews>
    <sheetView workbookViewId="0">
      <selection activeCell="Q3" sqref="Q3"/>
    </sheetView>
  </sheetViews>
  <sheetFormatPr defaultRowHeight="15"/>
  <cols>
    <col min="2" max="2" width="12.42578125" bestFit="1" customWidth="1"/>
    <col min="3" max="3" width="9.140625" customWidth="1"/>
    <col min="11" max="12" width="14.7109375" bestFit="1" customWidth="1"/>
  </cols>
  <sheetData>
    <row r="1" spans="1:20">
      <c r="C1" t="s">
        <v>6</v>
      </c>
      <c r="D1">
        <v>1</v>
      </c>
      <c r="E1">
        <v>100</v>
      </c>
      <c r="F1">
        <v>50</v>
      </c>
      <c r="G1">
        <v>50</v>
      </c>
      <c r="H1">
        <v>50</v>
      </c>
      <c r="I1">
        <v>50</v>
      </c>
      <c r="J1">
        <v>20</v>
      </c>
      <c r="K1">
        <v>10</v>
      </c>
      <c r="L1">
        <v>5</v>
      </c>
    </row>
    <row r="2" spans="1:20" hidden="1"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</row>
    <row r="3" spans="1:20">
      <c r="B3" t="s">
        <v>16</v>
      </c>
      <c r="C3" t="s">
        <v>18</v>
      </c>
      <c r="D3" t="s">
        <v>19</v>
      </c>
      <c r="E3" t="s">
        <v>20</v>
      </c>
      <c r="F3" t="s">
        <v>21</v>
      </c>
      <c r="G3" s="2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T3" s="2"/>
    </row>
    <row r="4" spans="1:20">
      <c r="A4">
        <v>1</v>
      </c>
      <c r="B4" s="7">
        <v>3</v>
      </c>
      <c r="C4" s="3">
        <f>2*B4/3</f>
        <v>2</v>
      </c>
      <c r="D4" s="4" t="s">
        <v>30</v>
      </c>
      <c r="E4" s="4" t="s">
        <v>31</v>
      </c>
      <c r="F4" s="4" t="s">
        <v>31</v>
      </c>
      <c r="G4" s="4" t="s">
        <v>31</v>
      </c>
      <c r="H4" s="4" t="s">
        <v>31</v>
      </c>
      <c r="I4" s="4" t="s">
        <v>31</v>
      </c>
      <c r="J4" s="4" t="s">
        <v>31</v>
      </c>
      <c r="K4" s="18" t="s">
        <v>31</v>
      </c>
      <c r="L4" s="4" t="s">
        <v>31</v>
      </c>
      <c r="O4" s="13"/>
      <c r="P4" s="13"/>
    </row>
    <row r="5" spans="1:20">
      <c r="A5">
        <v>2</v>
      </c>
      <c r="B5" s="7">
        <v>3.5</v>
      </c>
      <c r="C5" s="3">
        <f t="shared" ref="C5:C24" si="0">2*B5/3</f>
        <v>2.3333333333333335</v>
      </c>
      <c r="D5" s="4" t="s">
        <v>30</v>
      </c>
      <c r="E5" s="4" t="s">
        <v>31</v>
      </c>
      <c r="F5" s="4" t="s">
        <v>31</v>
      </c>
      <c r="G5" s="4" t="s">
        <v>31</v>
      </c>
      <c r="H5" s="4" t="s">
        <v>31</v>
      </c>
      <c r="I5" s="4" t="s">
        <v>31</v>
      </c>
      <c r="J5" s="4" t="s">
        <v>31</v>
      </c>
      <c r="K5" s="18" t="s">
        <v>31</v>
      </c>
      <c r="L5" s="4" t="s">
        <v>31</v>
      </c>
      <c r="O5" s="13"/>
      <c r="P5" s="13"/>
    </row>
    <row r="6" spans="1:20">
      <c r="A6">
        <v>3</v>
      </c>
      <c r="B6" s="7">
        <v>3.7</v>
      </c>
      <c r="C6" s="3">
        <f t="shared" si="0"/>
        <v>2.4666666666666668</v>
      </c>
      <c r="D6" s="4" t="s">
        <v>30</v>
      </c>
      <c r="E6" s="4" t="s">
        <v>31</v>
      </c>
      <c r="F6" s="4" t="s">
        <v>31</v>
      </c>
      <c r="G6" s="4" t="s">
        <v>31</v>
      </c>
      <c r="H6" s="4" t="s">
        <v>31</v>
      </c>
      <c r="I6" s="4" t="s">
        <v>31</v>
      </c>
      <c r="J6" s="4" t="s">
        <v>31</v>
      </c>
      <c r="K6" s="18" t="s">
        <v>31</v>
      </c>
      <c r="L6" s="4" t="s">
        <v>31</v>
      </c>
      <c r="O6" s="13"/>
      <c r="P6" s="13"/>
    </row>
    <row r="7" spans="1:20">
      <c r="A7">
        <v>4</v>
      </c>
      <c r="B7" s="7">
        <v>4</v>
      </c>
      <c r="C7" s="3">
        <f t="shared" si="0"/>
        <v>2.6666666666666665</v>
      </c>
      <c r="D7" s="4" t="s">
        <v>30</v>
      </c>
      <c r="E7" s="4" t="s">
        <v>31</v>
      </c>
      <c r="F7" s="4" t="s">
        <v>31</v>
      </c>
      <c r="G7" s="4" t="s">
        <v>31</v>
      </c>
      <c r="H7" s="4" t="s">
        <v>31</v>
      </c>
      <c r="I7" s="4" t="s">
        <v>31</v>
      </c>
      <c r="J7" s="4" t="s">
        <v>31</v>
      </c>
      <c r="K7" s="18" t="s">
        <v>31</v>
      </c>
      <c r="L7" s="4" t="s">
        <v>31</v>
      </c>
      <c r="O7" s="13"/>
      <c r="P7" s="13"/>
    </row>
    <row r="8" spans="1:20">
      <c r="A8">
        <v>5</v>
      </c>
      <c r="B8" s="7">
        <v>4.4000000000000004</v>
      </c>
      <c r="C8" s="3">
        <f t="shared" si="0"/>
        <v>2.9333333333333336</v>
      </c>
      <c r="D8" s="4" t="s">
        <v>30</v>
      </c>
      <c r="E8" s="4" t="s">
        <v>31</v>
      </c>
      <c r="F8" s="4" t="s">
        <v>31</v>
      </c>
      <c r="G8" s="4" t="s">
        <v>31</v>
      </c>
      <c r="H8" s="4" t="s">
        <v>31</v>
      </c>
      <c r="I8" s="4" t="s">
        <v>31</v>
      </c>
      <c r="J8" s="4" t="s">
        <v>31</v>
      </c>
      <c r="K8" s="18" t="s">
        <v>31</v>
      </c>
      <c r="L8" s="4" t="s">
        <v>31</v>
      </c>
      <c r="O8" s="13"/>
      <c r="P8" s="13"/>
      <c r="R8" s="2"/>
    </row>
    <row r="9" spans="1:20">
      <c r="A9">
        <v>6</v>
      </c>
      <c r="B9" s="7">
        <v>4.7</v>
      </c>
      <c r="C9" s="3">
        <f t="shared" si="0"/>
        <v>3.1333333333333333</v>
      </c>
      <c r="D9" s="4" t="s">
        <v>30</v>
      </c>
      <c r="E9" s="4" t="s">
        <v>31</v>
      </c>
      <c r="F9" s="4" t="s">
        <v>31</v>
      </c>
      <c r="G9" s="4" t="s">
        <v>31</v>
      </c>
      <c r="H9" s="4" t="s">
        <v>31</v>
      </c>
      <c r="I9" s="4" t="s">
        <v>31</v>
      </c>
      <c r="J9" s="4" t="s">
        <v>31</v>
      </c>
      <c r="K9" s="18" t="s">
        <v>31</v>
      </c>
      <c r="L9" s="4" t="s">
        <v>31</v>
      </c>
      <c r="O9" s="13"/>
      <c r="P9" s="13"/>
    </row>
    <row r="10" spans="1:20">
      <c r="A10">
        <v>7</v>
      </c>
      <c r="B10" s="7">
        <v>5</v>
      </c>
      <c r="C10" s="3">
        <f t="shared" si="0"/>
        <v>3.3333333333333335</v>
      </c>
      <c r="D10" s="4" t="s">
        <v>30</v>
      </c>
      <c r="E10" s="4" t="s">
        <v>31</v>
      </c>
      <c r="F10" s="4" t="s">
        <v>31</v>
      </c>
      <c r="G10" s="4" t="s">
        <v>31</v>
      </c>
      <c r="H10" s="4" t="s">
        <v>31</v>
      </c>
      <c r="I10" s="4" t="s">
        <v>31</v>
      </c>
      <c r="J10" s="4" t="s">
        <v>31</v>
      </c>
      <c r="K10" s="18" t="s">
        <v>31</v>
      </c>
      <c r="L10" s="4" t="s">
        <v>31</v>
      </c>
      <c r="O10" s="13"/>
      <c r="P10" s="13"/>
    </row>
    <row r="11" spans="1:20">
      <c r="A11">
        <v>8</v>
      </c>
      <c r="B11" s="7">
        <v>5.3</v>
      </c>
      <c r="C11" s="3">
        <f t="shared" si="0"/>
        <v>3.5333333333333332</v>
      </c>
      <c r="D11" s="4" t="s">
        <v>30</v>
      </c>
      <c r="E11" s="4" t="s">
        <v>31</v>
      </c>
      <c r="F11" s="4" t="s">
        <v>31</v>
      </c>
      <c r="G11" s="4" t="s">
        <v>31</v>
      </c>
      <c r="H11" s="4" t="s">
        <v>31</v>
      </c>
      <c r="I11" s="4" t="s">
        <v>31</v>
      </c>
      <c r="J11" s="4" t="s">
        <v>31</v>
      </c>
      <c r="K11" s="18" t="s">
        <v>31</v>
      </c>
      <c r="L11" s="4" t="s">
        <v>31</v>
      </c>
      <c r="O11" s="13"/>
      <c r="P11" s="13"/>
    </row>
    <row r="12" spans="1:20">
      <c r="A12">
        <v>9</v>
      </c>
      <c r="B12" s="7">
        <v>5.6</v>
      </c>
      <c r="C12" s="3">
        <f t="shared" si="0"/>
        <v>3.7333333333333329</v>
      </c>
      <c r="D12" s="4" t="s">
        <v>30</v>
      </c>
      <c r="E12" s="4" t="s">
        <v>31</v>
      </c>
      <c r="F12" s="4" t="s">
        <v>31</v>
      </c>
      <c r="G12" s="4" t="s">
        <v>31</v>
      </c>
      <c r="H12" s="4" t="s">
        <v>31</v>
      </c>
      <c r="I12" s="4" t="s">
        <v>31</v>
      </c>
      <c r="J12" s="4" t="s">
        <v>31</v>
      </c>
      <c r="K12" s="18" t="s">
        <v>31</v>
      </c>
      <c r="L12" s="4" t="s">
        <v>31</v>
      </c>
      <c r="O12" s="13"/>
      <c r="P12" s="13"/>
    </row>
    <row r="13" spans="1:20">
      <c r="A13">
        <v>10</v>
      </c>
      <c r="B13" s="7">
        <v>5.9</v>
      </c>
      <c r="C13" s="3">
        <f t="shared" si="0"/>
        <v>3.9333333333333336</v>
      </c>
      <c r="D13" s="4" t="s">
        <v>30</v>
      </c>
      <c r="E13" s="4" t="s">
        <v>31</v>
      </c>
      <c r="F13" s="4" t="s">
        <v>31</v>
      </c>
      <c r="G13" s="4" t="s">
        <v>31</v>
      </c>
      <c r="H13" s="4" t="s">
        <v>31</v>
      </c>
      <c r="I13" s="4" t="s">
        <v>31</v>
      </c>
      <c r="J13" s="4" t="s">
        <v>31</v>
      </c>
      <c r="K13" s="18" t="s">
        <v>31</v>
      </c>
      <c r="L13" s="4" t="s">
        <v>31</v>
      </c>
      <c r="O13" s="13"/>
      <c r="P13" s="13"/>
    </row>
    <row r="14" spans="1:20">
      <c r="A14">
        <v>11</v>
      </c>
      <c r="B14" s="7">
        <v>6.3</v>
      </c>
      <c r="C14" s="3">
        <f t="shared" si="0"/>
        <v>4.2</v>
      </c>
      <c r="D14" s="4" t="s">
        <v>30</v>
      </c>
      <c r="E14" s="4" t="s">
        <v>31</v>
      </c>
      <c r="F14" s="4" t="s">
        <v>31</v>
      </c>
      <c r="G14" s="4" t="s">
        <v>31</v>
      </c>
      <c r="H14" s="4" t="s">
        <v>31</v>
      </c>
      <c r="I14" s="4" t="s">
        <v>31</v>
      </c>
      <c r="J14" s="4" t="s">
        <v>31</v>
      </c>
      <c r="K14" s="18" t="s">
        <v>31</v>
      </c>
      <c r="L14" s="4" t="s">
        <v>31</v>
      </c>
      <c r="O14" s="13"/>
      <c r="P14" s="13"/>
    </row>
    <row r="15" spans="1:20">
      <c r="A15">
        <v>12</v>
      </c>
      <c r="B15" s="7">
        <v>6.8</v>
      </c>
      <c r="C15" s="3">
        <f t="shared" si="0"/>
        <v>4.5333333333333332</v>
      </c>
      <c r="D15" s="4" t="s">
        <v>30</v>
      </c>
      <c r="E15" s="4" t="s">
        <v>31</v>
      </c>
      <c r="F15" s="4" t="s">
        <v>31</v>
      </c>
      <c r="G15" s="4" t="s">
        <v>31</v>
      </c>
      <c r="H15" s="4" t="s">
        <v>31</v>
      </c>
      <c r="I15" s="4" t="s">
        <v>31</v>
      </c>
      <c r="J15" s="4" t="s">
        <v>31</v>
      </c>
      <c r="K15" s="18" t="s">
        <v>31</v>
      </c>
      <c r="L15" s="4" t="s">
        <v>31</v>
      </c>
      <c r="O15" s="13"/>
      <c r="P15" s="13"/>
    </row>
    <row r="16" spans="1:20">
      <c r="A16">
        <v>13</v>
      </c>
      <c r="B16" s="7">
        <v>7.2</v>
      </c>
      <c r="C16" s="3">
        <f t="shared" si="0"/>
        <v>4.8</v>
      </c>
      <c r="D16" s="4" t="s">
        <v>31</v>
      </c>
      <c r="E16" s="4" t="s">
        <v>31</v>
      </c>
      <c r="F16" s="4" t="s">
        <v>31</v>
      </c>
      <c r="G16" s="4" t="s">
        <v>31</v>
      </c>
      <c r="H16" s="4" t="s">
        <v>31</v>
      </c>
      <c r="I16" s="4" t="s">
        <v>31</v>
      </c>
      <c r="J16" s="4" t="s">
        <v>31</v>
      </c>
      <c r="K16" s="18" t="s">
        <v>31</v>
      </c>
      <c r="L16" s="4" t="s">
        <v>31</v>
      </c>
      <c r="O16" s="13"/>
      <c r="P16" s="13"/>
    </row>
    <row r="17" spans="1:16">
      <c r="A17" s="5">
        <v>14</v>
      </c>
      <c r="B17" s="11">
        <v>7.7</v>
      </c>
      <c r="C17" s="3">
        <f t="shared" si="0"/>
        <v>5.1333333333333337</v>
      </c>
      <c r="D17" s="4" t="s">
        <v>31</v>
      </c>
      <c r="E17" s="4" t="s">
        <v>31</v>
      </c>
      <c r="F17" s="4" t="s">
        <v>31</v>
      </c>
      <c r="G17" s="4" t="s">
        <v>31</v>
      </c>
      <c r="H17" s="4" t="s">
        <v>31</v>
      </c>
      <c r="I17" s="4" t="s">
        <v>31</v>
      </c>
      <c r="J17" s="4" t="s">
        <v>31</v>
      </c>
      <c r="K17" s="18" t="s">
        <v>31</v>
      </c>
      <c r="L17" s="4" t="s">
        <v>31</v>
      </c>
      <c r="O17" s="13"/>
      <c r="P17" s="13"/>
    </row>
    <row r="18" spans="1:16">
      <c r="A18" s="5">
        <v>15</v>
      </c>
      <c r="B18" s="11">
        <v>8.1999999999999993</v>
      </c>
      <c r="C18" s="3">
        <f t="shared" si="0"/>
        <v>5.4666666666666659</v>
      </c>
      <c r="D18" s="4" t="s">
        <v>31</v>
      </c>
      <c r="E18" s="4" t="s">
        <v>31</v>
      </c>
      <c r="F18" s="4" t="s">
        <v>31</v>
      </c>
      <c r="G18" s="4" t="s">
        <v>31</v>
      </c>
      <c r="H18" s="4" t="s">
        <v>31</v>
      </c>
      <c r="I18" s="4" t="s">
        <v>31</v>
      </c>
      <c r="J18" s="4" t="s">
        <v>31</v>
      </c>
      <c r="K18" s="18" t="s">
        <v>31</v>
      </c>
      <c r="L18" s="4" t="s">
        <v>31</v>
      </c>
      <c r="O18" s="13"/>
      <c r="P18" s="13"/>
    </row>
    <row r="19" spans="1:16">
      <c r="A19">
        <v>16</v>
      </c>
      <c r="B19" s="7">
        <v>8.6</v>
      </c>
      <c r="C19" s="3">
        <f t="shared" si="0"/>
        <v>5.7333333333333334</v>
      </c>
      <c r="D19" s="4" t="s">
        <v>31</v>
      </c>
      <c r="E19" s="4" t="s">
        <v>31</v>
      </c>
      <c r="F19" s="4" t="s">
        <v>31</v>
      </c>
      <c r="G19" s="4" t="s">
        <v>31</v>
      </c>
      <c r="H19" s="4" t="s">
        <v>31</v>
      </c>
      <c r="I19" s="4" t="s">
        <v>31</v>
      </c>
      <c r="J19" s="4" t="s">
        <v>31</v>
      </c>
      <c r="K19" s="18" t="s">
        <v>31</v>
      </c>
      <c r="L19" s="4" t="s">
        <v>31</v>
      </c>
      <c r="O19" s="13"/>
      <c r="P19" s="13"/>
    </row>
    <row r="20" spans="1:16">
      <c r="A20">
        <v>17</v>
      </c>
      <c r="B20" s="7">
        <v>9</v>
      </c>
      <c r="C20" s="3">
        <f t="shared" si="0"/>
        <v>6</v>
      </c>
      <c r="D20" s="4" t="s">
        <v>31</v>
      </c>
      <c r="E20" s="4" t="s">
        <v>31</v>
      </c>
      <c r="F20" s="4" t="s">
        <v>31</v>
      </c>
      <c r="G20" s="4" t="s">
        <v>31</v>
      </c>
      <c r="H20" s="4" t="s">
        <v>31</v>
      </c>
      <c r="I20" s="4" t="s">
        <v>31</v>
      </c>
      <c r="J20" s="4" t="s">
        <v>31</v>
      </c>
      <c r="K20" s="18" t="s">
        <v>31</v>
      </c>
      <c r="L20" s="4" t="s">
        <v>31</v>
      </c>
      <c r="O20" s="13"/>
      <c r="P20" s="13"/>
    </row>
    <row r="21" spans="1:16">
      <c r="A21">
        <v>18</v>
      </c>
      <c r="B21" s="7">
        <v>9.1999999999999993</v>
      </c>
      <c r="C21" s="3">
        <f t="shared" si="0"/>
        <v>6.1333333333333329</v>
      </c>
      <c r="D21" s="4" t="s">
        <v>31</v>
      </c>
      <c r="E21" s="4" t="s">
        <v>31</v>
      </c>
      <c r="F21" s="4" t="s">
        <v>31</v>
      </c>
      <c r="G21" s="4" t="s">
        <v>31</v>
      </c>
      <c r="H21" s="4" t="s">
        <v>31</v>
      </c>
      <c r="I21" s="4" t="s">
        <v>31</v>
      </c>
      <c r="J21" s="4" t="s">
        <v>31</v>
      </c>
      <c r="K21" s="18" t="s">
        <v>31</v>
      </c>
      <c r="L21" s="4" t="s">
        <v>31</v>
      </c>
      <c r="O21" s="13"/>
      <c r="P21" s="13"/>
    </row>
    <row r="22" spans="1:16">
      <c r="A22">
        <v>19</v>
      </c>
      <c r="B22" s="7">
        <v>9.5</v>
      </c>
      <c r="C22" s="3">
        <f t="shared" si="0"/>
        <v>6.333333333333333</v>
      </c>
      <c r="D22" s="4" t="s">
        <v>31</v>
      </c>
      <c r="E22" s="4" t="s">
        <v>31</v>
      </c>
      <c r="F22" s="4" t="s">
        <v>31</v>
      </c>
      <c r="G22" s="4" t="s">
        <v>31</v>
      </c>
      <c r="H22" s="4" t="s">
        <v>31</v>
      </c>
      <c r="I22" s="4" t="s">
        <v>31</v>
      </c>
      <c r="J22" s="4" t="s">
        <v>31</v>
      </c>
      <c r="K22" s="18" t="s">
        <v>31</v>
      </c>
      <c r="L22" s="4" t="s">
        <v>31</v>
      </c>
      <c r="O22" s="13"/>
      <c r="P22" s="13"/>
    </row>
    <row r="23" spans="1:16">
      <c r="A23">
        <v>20</v>
      </c>
      <c r="B23" s="7">
        <v>9.6999999999999993</v>
      </c>
      <c r="C23" s="3">
        <f t="shared" si="0"/>
        <v>6.4666666666666659</v>
      </c>
      <c r="D23" s="4" t="s">
        <v>31</v>
      </c>
      <c r="E23" s="4" t="s">
        <v>31</v>
      </c>
      <c r="F23" s="4" t="s">
        <v>31</v>
      </c>
      <c r="G23" s="4" t="s">
        <v>31</v>
      </c>
      <c r="H23" s="4" t="s">
        <v>31</v>
      </c>
      <c r="I23" s="4" t="s">
        <v>31</v>
      </c>
      <c r="J23" s="4" t="s">
        <v>31</v>
      </c>
      <c r="K23" s="18" t="s">
        <v>31</v>
      </c>
      <c r="L23" s="4" t="s">
        <v>31</v>
      </c>
      <c r="O23" s="13"/>
      <c r="P23" s="13"/>
    </row>
    <row r="24" spans="1:16">
      <c r="A24">
        <v>21</v>
      </c>
      <c r="B24" s="7">
        <v>10</v>
      </c>
      <c r="C24" s="3">
        <f t="shared" si="0"/>
        <v>6.666666666666667</v>
      </c>
      <c r="D24" s="4" t="s">
        <v>31</v>
      </c>
      <c r="E24" s="4" t="s">
        <v>31</v>
      </c>
      <c r="F24" s="4" t="s">
        <v>31</v>
      </c>
      <c r="G24" s="4" t="s">
        <v>31</v>
      </c>
      <c r="H24" s="4" t="s">
        <v>31</v>
      </c>
      <c r="I24" s="4" t="s">
        <v>31</v>
      </c>
      <c r="J24" s="4" t="s">
        <v>31</v>
      </c>
      <c r="K24" s="18" t="s">
        <v>31</v>
      </c>
      <c r="L24" s="17" t="s">
        <v>31</v>
      </c>
      <c r="O24" s="13"/>
      <c r="P24" s="13"/>
    </row>
    <row r="32" spans="1:16" ht="21">
      <c r="B32" s="8"/>
    </row>
    <row r="33" spans="2:5">
      <c r="B33" s="7"/>
      <c r="C33" s="10"/>
      <c r="D33" s="3"/>
      <c r="E33" s="3"/>
    </row>
    <row r="34" spans="2:5">
      <c r="B34" s="11"/>
      <c r="C34" s="12"/>
      <c r="D34" s="6"/>
      <c r="E34" s="6"/>
    </row>
    <row r="35" spans="2:5">
      <c r="B35" s="11"/>
      <c r="C35" s="12"/>
      <c r="D35" s="6"/>
      <c r="E35" s="6"/>
    </row>
    <row r="36" spans="2:5">
      <c r="B36" s="7"/>
      <c r="C36" s="10"/>
      <c r="D36" s="3"/>
      <c r="E36" s="3"/>
    </row>
    <row r="37" spans="2:5">
      <c r="B37" s="7"/>
      <c r="C37" s="10"/>
      <c r="D37" s="3"/>
      <c r="E37" s="3"/>
    </row>
  </sheetData>
  <conditionalFormatting sqref="D4:M24">
    <cfRule type="cellIs" dxfId="6" priority="11" operator="equal">
      <formula>"Completed"</formula>
    </cfRule>
  </conditionalFormatting>
  <conditionalFormatting sqref="D4:M24">
    <cfRule type="cellIs" dxfId="5" priority="10" operator="equal">
      <formula>"Incomplete"</formula>
    </cfRule>
  </conditionalFormatting>
  <conditionalFormatting sqref="H13:H24 D14:G14 I14:M14 D20:G20 I20:M20 D12:M12 D18:G18 I18:M18 D22:G22 I22:M22 I15:L17 I19:L19 I21:L21 I23:L24 G15:G17 G19 G21 G23:G24">
    <cfRule type="cellIs" dxfId="4" priority="9" operator="equal">
      <formula>"Completed"</formula>
    </cfRule>
  </conditionalFormatting>
  <conditionalFormatting sqref="H13:H24 D14:G14 I14:M14 D20:G20 I20:M20 D12:M12 D18:G18 I18:M18 D22:G22 I22:M22 I15:L17 I19:L19 I21:L21 I23:L24 G15:G17 G19 G21 G23:G24">
    <cfRule type="cellIs" dxfId="3" priority="8" operator="equal">
      <formula>"Incomplete"</formula>
    </cfRule>
  </conditionalFormatting>
  <conditionalFormatting sqref="D4:M24">
    <cfRule type="cellIs" dxfId="2" priority="5" operator="equal">
      <formula>"Current Limit"</formula>
    </cfRule>
  </conditionalFormatting>
  <conditionalFormatting sqref="D4:D15">
    <cfRule type="cellIs" dxfId="1" priority="2" operator="equal">
      <formula>"Completed"</formula>
    </cfRule>
  </conditionalFormatting>
  <conditionalFormatting sqref="D4:D15">
    <cfRule type="cellIs" dxfId="0" priority="1" operator="equal">
      <formula>"Incomplete"</formula>
    </cfRule>
  </conditionalFormatting>
  <dataValidations count="2">
    <dataValidation type="list" allowBlank="1" showInputMessage="1" showErrorMessage="1" sqref="D4:D15" xr:uid="{82CBF4B8-CA04-45DD-A0F7-DF2EB8913AFE}">
      <formula1>"Completed, Incomplete, Not Considered"</formula1>
    </dataValidation>
    <dataValidation type="list" allowBlank="1" showInputMessage="1" showErrorMessage="1" sqref="M4:M24 E4:L24 D16:D24" xr:uid="{809B6BBB-5A73-47E1-AD1E-3E2A537C0D79}">
      <formula1>"Completed, Incomplete"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6C6D27B334EC4E9248E61BC62A93B4" ma:contentTypeVersion="12" ma:contentTypeDescription="Een nieuw document maken." ma:contentTypeScope="" ma:versionID="218c63e6fad27fdfbcb96ec413b4c94c">
  <xsd:schema xmlns:xsd="http://www.w3.org/2001/XMLSchema" xmlns:xs="http://www.w3.org/2001/XMLSchema" xmlns:p="http://schemas.microsoft.com/office/2006/metadata/properties" xmlns:ns2="2d0bc5df-280f-46b8-8a75-b39f1b27a606" xmlns:ns3="c8422116-4676-4627-a37e-723476f6f35a" targetNamespace="http://schemas.microsoft.com/office/2006/metadata/properties" ma:root="true" ma:fieldsID="a45baa1c272b6bd5120aaa61b66baf93" ns2:_="" ns3:_="">
    <xsd:import namespace="2d0bc5df-280f-46b8-8a75-b39f1b27a606"/>
    <xsd:import namespace="c8422116-4676-4627-a37e-723476f6f3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bc5df-280f-46b8-8a75-b39f1b27a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22116-4676-4627-a37e-723476f6f35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3cd566c-19b6-4053-b877-8716c6f53747}" ma:internalName="TaxCatchAll" ma:showField="CatchAllData" ma:web="c8422116-4676-4627-a37e-723476f6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422116-4676-4627-a37e-723476f6f35a" xsi:nil="true"/>
    <lcf76f155ced4ddcb4097134ff3c332f xmlns="2d0bc5df-280f-46b8-8a75-b39f1b27a6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5E15A5-4101-418D-848F-16673FE9EFD9}"/>
</file>

<file path=customXml/itemProps2.xml><?xml version="1.0" encoding="utf-8"?>
<ds:datastoreItem xmlns:ds="http://schemas.openxmlformats.org/officeDocument/2006/customXml" ds:itemID="{243BBE4C-1020-4861-AB52-01D38FB88013}"/>
</file>

<file path=customXml/itemProps3.xml><?xml version="1.0" encoding="utf-8"?>
<ds:datastoreItem xmlns:ds="http://schemas.openxmlformats.org/officeDocument/2006/customXml" ds:itemID="{7B261346-04F2-4646-8F99-5B2114711C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Dhulipala</cp:lastModifiedBy>
  <cp:revision/>
  <dcterms:created xsi:type="dcterms:W3CDTF">2025-04-15T10:18:50Z</dcterms:created>
  <dcterms:modified xsi:type="dcterms:W3CDTF">2025-07-29T22:31:33Z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0x010100B16C6D27B334EC4E9248E61BC62A93B4</vt:lpwstr>
  </property>
  <property fmtid="{D5CDD505-2E9C-101B-9397-08002B2CF9AE}" pid="3" name="MediaServiceImageTags">
    <vt:lpwstr/>
  </property>
</Properties>
</file>