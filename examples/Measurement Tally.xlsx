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1"/>
  <workbookPr/>
  <xr:revisionPtr revIDLastSave="131" documentId="11_68E4AE4205F1B4C5ECB3E9DDF2E9621722FF3F17" xr6:coauthVersionLast="47" xr6:coauthVersionMax="47" xr10:uidLastSave="{69C7BA15-E994-4531-8254-6ECDDFD4C17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28" i="1"/>
  <c r="C27" i="1"/>
  <c r="C28" i="1"/>
  <c r="F37" i="1"/>
  <c r="C36" i="1"/>
  <c r="E37" i="1"/>
  <c r="E38" i="1"/>
  <c r="E39" i="1"/>
  <c r="E40" i="1"/>
  <c r="E36" i="1"/>
  <c r="F36" i="1"/>
  <c r="F40" i="1"/>
  <c r="C6" i="1"/>
  <c r="D44" i="1"/>
  <c r="F39" i="1"/>
  <c r="F38" i="1"/>
  <c r="Q26" i="1"/>
  <c r="D26" i="1"/>
  <c r="C26" i="1"/>
  <c r="P26" i="1" s="1"/>
  <c r="Q25" i="1"/>
  <c r="D25" i="1"/>
  <c r="C25" i="1"/>
  <c r="P25" i="1" s="1"/>
  <c r="Q24" i="1"/>
  <c r="D24" i="1"/>
  <c r="C24" i="1"/>
  <c r="P24" i="1" s="1"/>
  <c r="Q23" i="1"/>
  <c r="D23" i="1"/>
  <c r="C23" i="1"/>
  <c r="P23" i="1" s="1"/>
  <c r="Q22" i="1"/>
  <c r="D22" i="1"/>
  <c r="C22" i="1"/>
  <c r="P22" i="1" s="1"/>
  <c r="Q21" i="1"/>
  <c r="D21" i="1"/>
  <c r="C21" i="1"/>
  <c r="P21" i="1" s="1"/>
  <c r="Q20" i="1"/>
  <c r="D20" i="1"/>
  <c r="C20" i="1"/>
  <c r="P20" i="1" s="1"/>
  <c r="Q19" i="1"/>
  <c r="D19" i="1"/>
  <c r="C19" i="1"/>
  <c r="P19" i="1" s="1"/>
  <c r="Q18" i="1"/>
  <c r="D18" i="1"/>
  <c r="C18" i="1"/>
  <c r="P18" i="1" s="1"/>
  <c r="Q17" i="1"/>
  <c r="D17" i="1"/>
  <c r="C17" i="1"/>
  <c r="P17" i="1" s="1"/>
  <c r="Q16" i="1"/>
  <c r="D16" i="1"/>
  <c r="C16" i="1"/>
  <c r="P16" i="1" s="1"/>
  <c r="Q15" i="1"/>
  <c r="D15" i="1"/>
  <c r="C15" i="1"/>
  <c r="P15" i="1" s="1"/>
  <c r="Q14" i="1"/>
  <c r="D14" i="1"/>
  <c r="C14" i="1"/>
  <c r="P14" i="1" s="1"/>
  <c r="Q13" i="1"/>
  <c r="D13" i="1"/>
  <c r="C13" i="1"/>
  <c r="P13" i="1" s="1"/>
  <c r="Q12" i="1"/>
  <c r="D12" i="1"/>
  <c r="C12" i="1"/>
  <c r="P12" i="1" s="1"/>
  <c r="Q11" i="1"/>
  <c r="D11" i="1"/>
  <c r="C11" i="1"/>
  <c r="P11" i="1" s="1"/>
  <c r="Q10" i="1"/>
  <c r="D10" i="1"/>
  <c r="C10" i="1"/>
  <c r="P10" i="1" s="1"/>
  <c r="Q9" i="1"/>
  <c r="D9" i="1"/>
  <c r="C9" i="1"/>
  <c r="P9" i="1" s="1"/>
  <c r="Q8" i="1"/>
  <c r="D8" i="1"/>
  <c r="C8" i="1"/>
  <c r="P8" i="1" s="1"/>
  <c r="Q7" i="1"/>
  <c r="D7" i="1"/>
  <c r="C7" i="1"/>
  <c r="P7" i="1" s="1"/>
  <c r="Q6" i="1"/>
  <c r="D6" i="1"/>
  <c r="P6" i="1"/>
</calcChain>
</file>

<file path=xl/sharedStrings.xml><?xml version="1.0" encoding="utf-8"?>
<sst xmlns="http://schemas.openxmlformats.org/spreadsheetml/2006/main" count="268" uniqueCount="49">
  <si>
    <t>Arrester - A6 (green yellow stripe) - Depolarised (MZE100B2)</t>
  </si>
  <si>
    <t>Aim to measure at same current drawing capacity across Arresters</t>
  </si>
  <si>
    <t>200 Hz DSP</t>
  </si>
  <si>
    <t>100 Hz DSP</t>
  </si>
  <si>
    <t>2kHz DSP</t>
  </si>
  <si>
    <t>5kHz DSP</t>
  </si>
  <si>
    <t>ms</t>
  </si>
  <si>
    <t>A5_DC</t>
  </si>
  <si>
    <t>A5_10</t>
  </si>
  <si>
    <t>A5_17</t>
  </si>
  <si>
    <t>A5_27</t>
  </si>
  <si>
    <t>A5_50</t>
  </si>
  <si>
    <t>A5_100</t>
  </si>
  <si>
    <t>A5_150</t>
  </si>
  <si>
    <t>A5_300</t>
  </si>
  <si>
    <t>A5_500</t>
  </si>
  <si>
    <t>Voltage (kVp)</t>
  </si>
  <si>
    <t>Vpp on SG</t>
  </si>
  <si>
    <t>FOR DC V(offset)</t>
  </si>
  <si>
    <t>DC</t>
  </si>
  <si>
    <t>10 Hz</t>
  </si>
  <si>
    <t>17 Hz</t>
  </si>
  <si>
    <t>27 Hz</t>
  </si>
  <si>
    <t>50 Hz</t>
  </si>
  <si>
    <t>100 Hz</t>
  </si>
  <si>
    <t>150 Hz</t>
  </si>
  <si>
    <t>300 Hz</t>
  </si>
  <si>
    <t>500 Hz</t>
  </si>
  <si>
    <t>3n (Vpp in SG)</t>
  </si>
  <si>
    <t>5n (Vpp in SG)</t>
  </si>
  <si>
    <t>Not Considered</t>
  </si>
  <si>
    <t>Completed</t>
  </si>
  <si>
    <t>Freq</t>
  </si>
  <si>
    <t>Temp measured right after test (in C)</t>
  </si>
  <si>
    <t>maintain this temp.</t>
  </si>
  <si>
    <t>Incomplete</t>
  </si>
  <si>
    <t>DC Test from Highest to lowest for DC readings, possibly cuz of Hysterisis....?</t>
  </si>
  <si>
    <t>non linear current will interject a 50Hz comp?</t>
  </si>
  <si>
    <t>Datasheet</t>
  </si>
  <si>
    <t>Important stuff</t>
  </si>
  <si>
    <t>Units</t>
  </si>
  <si>
    <t>On scope</t>
  </si>
  <si>
    <t>Ures @10kA</t>
  </si>
  <si>
    <t>kV</t>
  </si>
  <si>
    <t xml:space="preserve">Ur </t>
  </si>
  <si>
    <t>Uc</t>
  </si>
  <si>
    <t>Uref</t>
  </si>
  <si>
    <t>Iref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</si>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</sst>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2" fontId="0" fillId="2" borderId="0" xfId="0" applyNumberFormat="1" applyFill="1"/>
    <xf numFmtId="2" fontId="0" fillId="0" borderId="0" xfId="0" applyNumberFormat="1"/>
    <xf numFmtId="0" fontId="0" fillId="0" borderId="1" xfId="0" applyBorder="1"/>
    <xf numFmtId="164" fontId="0" fillId="0" borderId="0" xfId="0" applyNumberFormat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Border="1"/>
    <xf numFmtId="0" fontId="3" fillId="0" borderId="3" xfId="0" applyFont="1" applyBorder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"/>
  <sheetViews>
    <sheetView tabSelected="1" topLeftCell="D3" workbookViewId="0">
      <selection activeCell="M7" sqref="M7:M28"/>
    </sheetView>
  </sheetViews>
  <sheetFormatPr defaultRowHeight="15"/>
  <cols>
    <col min="13" max="13" width="10.85546875" bestFit="1" customWidth="1"/>
  </cols>
  <sheetData>
    <row r="1" spans="1:21" ht="26.25">
      <c r="A1" s="1" t="s">
        <v>0</v>
      </c>
    </row>
    <row r="2" spans="1:21">
      <c r="A2" t="s">
        <v>1</v>
      </c>
      <c r="E2" t="s">
        <v>2</v>
      </c>
      <c r="F2" t="s">
        <v>3</v>
      </c>
      <c r="G2" t="s">
        <v>3</v>
      </c>
      <c r="H2" t="s">
        <v>2</v>
      </c>
      <c r="I2" t="s">
        <v>4</v>
      </c>
      <c r="J2" t="s">
        <v>5</v>
      </c>
      <c r="K2" t="s">
        <v>5</v>
      </c>
      <c r="L2" t="s">
        <v>5</v>
      </c>
      <c r="M2" t="s">
        <v>5</v>
      </c>
      <c r="N2" t="s">
        <v>5</v>
      </c>
    </row>
    <row r="3" spans="1:21">
      <c r="D3" t="s">
        <v>6</v>
      </c>
      <c r="E3">
        <v>1</v>
      </c>
      <c r="F3">
        <v>100</v>
      </c>
      <c r="G3">
        <v>50</v>
      </c>
      <c r="H3">
        <v>50</v>
      </c>
      <c r="I3">
        <v>50</v>
      </c>
      <c r="J3">
        <v>50</v>
      </c>
      <c r="K3">
        <v>20</v>
      </c>
      <c r="L3">
        <v>10</v>
      </c>
      <c r="M3">
        <v>5</v>
      </c>
    </row>
    <row r="4" spans="1:21"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</row>
    <row r="5" spans="1:21"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s="2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P5" t="s">
        <v>28</v>
      </c>
      <c r="Q5" t="s">
        <v>29</v>
      </c>
      <c r="U5" s="2"/>
    </row>
    <row r="6" spans="1:21">
      <c r="A6">
        <v>1</v>
      </c>
      <c r="B6">
        <v>1.29</v>
      </c>
      <c r="C6" s="3">
        <f>4*B6/3</f>
        <v>1.72</v>
      </c>
      <c r="D6" s="4">
        <f>2*B6/3</f>
        <v>0.86</v>
      </c>
      <c r="E6" s="5" t="s">
        <v>30</v>
      </c>
      <c r="F6" s="5" t="s">
        <v>31</v>
      </c>
      <c r="G6" s="5" t="s">
        <v>31</v>
      </c>
      <c r="H6" s="5" t="s">
        <v>31</v>
      </c>
      <c r="I6" s="5" t="s">
        <v>31</v>
      </c>
      <c r="J6" s="5" t="s">
        <v>31</v>
      </c>
      <c r="K6" s="5" t="s">
        <v>31</v>
      </c>
      <c r="L6" s="5" t="s">
        <v>31</v>
      </c>
      <c r="M6" s="5" t="s">
        <v>31</v>
      </c>
      <c r="P6" s="6">
        <f>C6*0.55</f>
        <v>0.94600000000000006</v>
      </c>
      <c r="Q6" s="6">
        <f>B6*0.1</f>
        <v>0.129</v>
      </c>
      <c r="S6" s="7" t="s">
        <v>32</v>
      </c>
      <c r="T6" s="7" t="s">
        <v>33</v>
      </c>
    </row>
    <row r="7" spans="1:21">
      <c r="A7">
        <v>2</v>
      </c>
      <c r="B7">
        <v>1.44</v>
      </c>
      <c r="C7" s="3">
        <f t="shared" ref="C7:C28" si="0">4*B7/3</f>
        <v>1.92</v>
      </c>
      <c r="D7" s="4">
        <f t="shared" ref="D7:D28" si="1">2*B7/3</f>
        <v>0.96</v>
      </c>
      <c r="E7" s="5" t="s">
        <v>30</v>
      </c>
      <c r="F7" s="5" t="s">
        <v>31</v>
      </c>
      <c r="G7" s="5" t="s">
        <v>31</v>
      </c>
      <c r="H7" s="5" t="s">
        <v>31</v>
      </c>
      <c r="I7" s="5" t="s">
        <v>31</v>
      </c>
      <c r="J7" s="5" t="s">
        <v>31</v>
      </c>
      <c r="K7" s="5" t="s">
        <v>31</v>
      </c>
      <c r="L7" s="5" t="s">
        <v>31</v>
      </c>
      <c r="M7" s="5" t="s">
        <v>31</v>
      </c>
      <c r="P7" s="6">
        <f t="shared" ref="P7:P26" si="2">C7*0.55</f>
        <v>1.056</v>
      </c>
      <c r="Q7" s="6">
        <f t="shared" ref="Q7:Q26" si="3">B7*0.1</f>
        <v>0.14399999999999999</v>
      </c>
      <c r="S7" s="5"/>
      <c r="T7" s="18">
        <v>24</v>
      </c>
    </row>
    <row r="8" spans="1:21">
      <c r="A8">
        <v>3</v>
      </c>
      <c r="B8">
        <v>1.59</v>
      </c>
      <c r="C8" s="3">
        <f t="shared" si="0"/>
        <v>2.12</v>
      </c>
      <c r="D8" s="4">
        <f t="shared" si="1"/>
        <v>1.06</v>
      </c>
      <c r="E8" s="5" t="s">
        <v>30</v>
      </c>
      <c r="F8" s="5" t="s">
        <v>31</v>
      </c>
      <c r="G8" s="5" t="s">
        <v>31</v>
      </c>
      <c r="H8" s="5" t="s">
        <v>31</v>
      </c>
      <c r="I8" s="5" t="s">
        <v>31</v>
      </c>
      <c r="J8" s="5" t="s">
        <v>31</v>
      </c>
      <c r="K8" s="5" t="s">
        <v>31</v>
      </c>
      <c r="L8" s="5" t="s">
        <v>31</v>
      </c>
      <c r="M8" s="5" t="s">
        <v>31</v>
      </c>
      <c r="P8" s="6">
        <f t="shared" si="2"/>
        <v>1.1660000000000001</v>
      </c>
      <c r="Q8" s="6">
        <f t="shared" si="3"/>
        <v>0.15900000000000003</v>
      </c>
      <c r="S8" s="8" t="s">
        <v>20</v>
      </c>
      <c r="T8" s="5">
        <v>23.5</v>
      </c>
      <c r="U8" t="s">
        <v>34</v>
      </c>
    </row>
    <row r="9" spans="1:21">
      <c r="A9">
        <v>4</v>
      </c>
      <c r="B9">
        <v>1.74</v>
      </c>
      <c r="C9" s="3">
        <f t="shared" si="0"/>
        <v>2.3199999999999998</v>
      </c>
      <c r="D9" s="4">
        <f t="shared" si="1"/>
        <v>1.1599999999999999</v>
      </c>
      <c r="E9" s="5" t="s">
        <v>30</v>
      </c>
      <c r="F9" s="5" t="s">
        <v>31</v>
      </c>
      <c r="G9" s="5" t="s">
        <v>31</v>
      </c>
      <c r="H9" s="5" t="s">
        <v>31</v>
      </c>
      <c r="I9" s="5" t="s">
        <v>31</v>
      </c>
      <c r="J9" s="5" t="s">
        <v>31</v>
      </c>
      <c r="K9" s="5" t="s">
        <v>31</v>
      </c>
      <c r="L9" s="5" t="s">
        <v>31</v>
      </c>
      <c r="M9" s="5" t="s">
        <v>31</v>
      </c>
      <c r="P9" s="6">
        <f t="shared" si="2"/>
        <v>1.276</v>
      </c>
      <c r="Q9" s="6">
        <f t="shared" si="3"/>
        <v>0.17400000000000002</v>
      </c>
      <c r="S9" s="5" t="s">
        <v>21</v>
      </c>
      <c r="T9" s="5">
        <v>23.7</v>
      </c>
    </row>
    <row r="10" spans="1:21">
      <c r="A10">
        <v>5</v>
      </c>
      <c r="B10">
        <v>1.89</v>
      </c>
      <c r="C10" s="3">
        <f t="shared" si="0"/>
        <v>2.52</v>
      </c>
      <c r="D10" s="4">
        <f t="shared" si="1"/>
        <v>1.26</v>
      </c>
      <c r="E10" s="5" t="s">
        <v>30</v>
      </c>
      <c r="F10" s="5" t="s">
        <v>31</v>
      </c>
      <c r="G10" s="5" t="s">
        <v>31</v>
      </c>
      <c r="H10" s="5" t="s">
        <v>31</v>
      </c>
      <c r="I10" s="5" t="s">
        <v>31</v>
      </c>
      <c r="J10" s="5" t="s">
        <v>31</v>
      </c>
      <c r="K10" s="5" t="s">
        <v>31</v>
      </c>
      <c r="L10" s="5" t="s">
        <v>31</v>
      </c>
      <c r="M10" s="5" t="s">
        <v>31</v>
      </c>
      <c r="P10" s="6">
        <f t="shared" si="2"/>
        <v>1.3860000000000001</v>
      </c>
      <c r="Q10" s="6">
        <f t="shared" si="3"/>
        <v>0.189</v>
      </c>
      <c r="S10" s="9" t="s">
        <v>22</v>
      </c>
      <c r="T10" s="5">
        <v>24.3</v>
      </c>
    </row>
    <row r="11" spans="1:21">
      <c r="A11">
        <v>6</v>
      </c>
      <c r="B11">
        <v>2.04</v>
      </c>
      <c r="C11" s="3">
        <f t="shared" si="0"/>
        <v>2.72</v>
      </c>
      <c r="D11" s="4">
        <f t="shared" si="1"/>
        <v>1.36</v>
      </c>
      <c r="E11" s="5" t="s">
        <v>30</v>
      </c>
      <c r="F11" s="5" t="s">
        <v>31</v>
      </c>
      <c r="G11" s="5" t="s">
        <v>31</v>
      </c>
      <c r="H11" s="5" t="s">
        <v>31</v>
      </c>
      <c r="I11" s="5" t="s">
        <v>31</v>
      </c>
      <c r="J11" s="5" t="s">
        <v>31</v>
      </c>
      <c r="K11" s="5" t="s">
        <v>31</v>
      </c>
      <c r="L11" s="5" t="s">
        <v>31</v>
      </c>
      <c r="M11" s="5" t="s">
        <v>31</v>
      </c>
      <c r="P11" s="6">
        <f t="shared" si="2"/>
        <v>1.4960000000000002</v>
      </c>
      <c r="Q11" s="6">
        <f t="shared" si="3"/>
        <v>0.20400000000000001</v>
      </c>
      <c r="S11" s="5" t="s">
        <v>23</v>
      </c>
      <c r="T11" s="5">
        <v>24.7</v>
      </c>
    </row>
    <row r="12" spans="1:21">
      <c r="A12">
        <v>7</v>
      </c>
      <c r="B12">
        <v>2.19</v>
      </c>
      <c r="C12" s="3">
        <f t="shared" si="0"/>
        <v>2.92</v>
      </c>
      <c r="D12" s="4">
        <f t="shared" si="1"/>
        <v>1.46</v>
      </c>
      <c r="E12" s="5" t="s">
        <v>30</v>
      </c>
      <c r="F12" s="5" t="s">
        <v>31</v>
      </c>
      <c r="G12" s="5" t="s">
        <v>31</v>
      </c>
      <c r="H12" s="5" t="s">
        <v>31</v>
      </c>
      <c r="I12" s="5" t="s">
        <v>31</v>
      </c>
      <c r="J12" s="5" t="s">
        <v>31</v>
      </c>
      <c r="K12" s="5" t="s">
        <v>31</v>
      </c>
      <c r="L12" s="5" t="s">
        <v>31</v>
      </c>
      <c r="M12" s="5" t="s">
        <v>31</v>
      </c>
      <c r="P12" s="6">
        <f t="shared" si="2"/>
        <v>1.6060000000000001</v>
      </c>
      <c r="Q12" s="6">
        <f t="shared" si="3"/>
        <v>0.219</v>
      </c>
      <c r="S12" s="5" t="s">
        <v>24</v>
      </c>
      <c r="T12" s="5">
        <v>25</v>
      </c>
    </row>
    <row r="13" spans="1:21">
      <c r="A13">
        <v>8</v>
      </c>
      <c r="B13">
        <v>2.34</v>
      </c>
      <c r="C13" s="3">
        <f t="shared" si="0"/>
        <v>3.1199999999999997</v>
      </c>
      <c r="D13" s="4">
        <f t="shared" si="1"/>
        <v>1.5599999999999998</v>
      </c>
      <c r="E13" s="5" t="s">
        <v>30</v>
      </c>
      <c r="F13" s="5" t="s">
        <v>31</v>
      </c>
      <c r="G13" s="5" t="s">
        <v>31</v>
      </c>
      <c r="H13" s="5" t="s">
        <v>31</v>
      </c>
      <c r="I13" s="5" t="s">
        <v>31</v>
      </c>
      <c r="J13" s="5" t="s">
        <v>31</v>
      </c>
      <c r="K13" s="5" t="s">
        <v>31</v>
      </c>
      <c r="L13" s="5" t="s">
        <v>31</v>
      </c>
      <c r="M13" s="5" t="s">
        <v>31</v>
      </c>
      <c r="P13" s="6">
        <f t="shared" si="2"/>
        <v>1.716</v>
      </c>
      <c r="Q13" s="6">
        <f t="shared" si="3"/>
        <v>0.23399999999999999</v>
      </c>
      <c r="S13" s="5" t="s">
        <v>25</v>
      </c>
      <c r="T13" s="7">
        <v>25.7</v>
      </c>
    </row>
    <row r="14" spans="1:21">
      <c r="A14">
        <v>9</v>
      </c>
      <c r="B14">
        <v>2.4900000000000002</v>
      </c>
      <c r="C14" s="3">
        <f t="shared" si="0"/>
        <v>3.3200000000000003</v>
      </c>
      <c r="D14" s="4">
        <f t="shared" si="1"/>
        <v>1.6600000000000001</v>
      </c>
      <c r="E14" s="5" t="s">
        <v>30</v>
      </c>
      <c r="F14" s="5" t="s">
        <v>31</v>
      </c>
      <c r="G14" s="5" t="s">
        <v>31</v>
      </c>
      <c r="H14" s="5" t="s">
        <v>31</v>
      </c>
      <c r="I14" s="5" t="s">
        <v>31</v>
      </c>
      <c r="J14" s="5" t="s">
        <v>31</v>
      </c>
      <c r="K14" s="5" t="s">
        <v>31</v>
      </c>
      <c r="L14" s="5" t="s">
        <v>31</v>
      </c>
      <c r="M14" s="5" t="s">
        <v>31</v>
      </c>
      <c r="P14" s="6">
        <f t="shared" si="2"/>
        <v>1.8260000000000003</v>
      </c>
      <c r="Q14" s="6">
        <f t="shared" si="3"/>
        <v>0.24900000000000003</v>
      </c>
      <c r="S14" s="7" t="s">
        <v>26</v>
      </c>
      <c r="T14" s="7">
        <v>25.9</v>
      </c>
    </row>
    <row r="15" spans="1:21">
      <c r="A15">
        <v>10</v>
      </c>
      <c r="B15">
        <v>2.64</v>
      </c>
      <c r="C15" s="3">
        <f t="shared" si="0"/>
        <v>3.52</v>
      </c>
      <c r="D15" s="4">
        <f t="shared" si="1"/>
        <v>1.76</v>
      </c>
      <c r="E15" s="5" t="s">
        <v>30</v>
      </c>
      <c r="F15" s="5" t="s">
        <v>31</v>
      </c>
      <c r="G15" s="5" t="s">
        <v>31</v>
      </c>
      <c r="H15" s="5" t="s">
        <v>31</v>
      </c>
      <c r="I15" s="5" t="s">
        <v>31</v>
      </c>
      <c r="J15" s="5" t="s">
        <v>31</v>
      </c>
      <c r="K15" s="5" t="s">
        <v>31</v>
      </c>
      <c r="L15" s="5" t="s">
        <v>31</v>
      </c>
      <c r="M15" s="5" t="s">
        <v>31</v>
      </c>
      <c r="P15" s="6">
        <f t="shared" si="2"/>
        <v>1.9360000000000002</v>
      </c>
      <c r="Q15" s="6">
        <f t="shared" si="3"/>
        <v>0.26400000000000001</v>
      </c>
      <c r="S15" s="5" t="s">
        <v>27</v>
      </c>
      <c r="T15" s="5">
        <v>25.2</v>
      </c>
    </row>
    <row r="16" spans="1:21">
      <c r="A16">
        <v>11</v>
      </c>
      <c r="B16">
        <v>2.79</v>
      </c>
      <c r="C16" s="3">
        <f t="shared" si="0"/>
        <v>3.72</v>
      </c>
      <c r="D16" s="4">
        <f t="shared" si="1"/>
        <v>1.86</v>
      </c>
      <c r="E16" s="5" t="s">
        <v>30</v>
      </c>
      <c r="F16" s="5" t="s">
        <v>31</v>
      </c>
      <c r="G16" s="5" t="s">
        <v>31</v>
      </c>
      <c r="H16" s="5" t="s">
        <v>31</v>
      </c>
      <c r="I16" s="5" t="s">
        <v>31</v>
      </c>
      <c r="J16" s="5" t="s">
        <v>31</v>
      </c>
      <c r="K16" s="5" t="s">
        <v>31</v>
      </c>
      <c r="L16" s="5" t="s">
        <v>31</v>
      </c>
      <c r="M16" s="5" t="s">
        <v>31</v>
      </c>
      <c r="P16" s="6">
        <f t="shared" si="2"/>
        <v>2.0460000000000003</v>
      </c>
      <c r="Q16" s="6">
        <f t="shared" si="3"/>
        <v>0.27900000000000003</v>
      </c>
    </row>
    <row r="17" spans="1:17">
      <c r="A17">
        <v>12</v>
      </c>
      <c r="B17">
        <v>2.94</v>
      </c>
      <c r="C17" s="3">
        <f t="shared" si="0"/>
        <v>3.92</v>
      </c>
      <c r="D17" s="4">
        <f t="shared" si="1"/>
        <v>1.96</v>
      </c>
      <c r="E17" s="5" t="s">
        <v>30</v>
      </c>
      <c r="F17" s="5" t="s">
        <v>31</v>
      </c>
      <c r="G17" s="5" t="s">
        <v>31</v>
      </c>
      <c r="H17" s="5" t="s">
        <v>31</v>
      </c>
      <c r="I17" s="5" t="s">
        <v>31</v>
      </c>
      <c r="J17" s="5" t="s">
        <v>31</v>
      </c>
      <c r="K17" s="5" t="s">
        <v>31</v>
      </c>
      <c r="L17" s="5" t="s">
        <v>31</v>
      </c>
      <c r="M17" s="5" t="s">
        <v>31</v>
      </c>
      <c r="P17" s="6">
        <f t="shared" si="2"/>
        <v>2.1560000000000001</v>
      </c>
      <c r="Q17" s="6">
        <f t="shared" si="3"/>
        <v>0.29399999999999998</v>
      </c>
    </row>
    <row r="18" spans="1:17">
      <c r="A18">
        <v>13</v>
      </c>
      <c r="B18">
        <v>3.09</v>
      </c>
      <c r="C18" s="3">
        <f t="shared" si="0"/>
        <v>4.12</v>
      </c>
      <c r="D18" s="4">
        <f t="shared" si="1"/>
        <v>2.06</v>
      </c>
      <c r="E18" s="5" t="s">
        <v>35</v>
      </c>
      <c r="F18" s="5" t="s">
        <v>31</v>
      </c>
      <c r="G18" s="5" t="s">
        <v>31</v>
      </c>
      <c r="H18" s="5" t="s">
        <v>31</v>
      </c>
      <c r="I18" s="5" t="s">
        <v>31</v>
      </c>
      <c r="J18" s="5" t="s">
        <v>31</v>
      </c>
      <c r="K18" s="5" t="s">
        <v>31</v>
      </c>
      <c r="L18" s="5" t="s">
        <v>31</v>
      </c>
      <c r="M18" s="5" t="s">
        <v>31</v>
      </c>
      <c r="P18" s="6">
        <f t="shared" si="2"/>
        <v>2.2660000000000005</v>
      </c>
      <c r="Q18" s="6">
        <f t="shared" si="3"/>
        <v>0.309</v>
      </c>
    </row>
    <row r="19" spans="1:17">
      <c r="A19" s="10">
        <v>14</v>
      </c>
      <c r="B19">
        <v>3.24</v>
      </c>
      <c r="C19" s="3">
        <f t="shared" si="0"/>
        <v>4.32</v>
      </c>
      <c r="D19" s="4">
        <f t="shared" si="1"/>
        <v>2.16</v>
      </c>
      <c r="E19" s="5" t="s">
        <v>35</v>
      </c>
      <c r="F19" s="5" t="s">
        <v>31</v>
      </c>
      <c r="G19" s="5" t="s">
        <v>31</v>
      </c>
      <c r="H19" s="5" t="s">
        <v>31</v>
      </c>
      <c r="I19" s="5" t="s">
        <v>31</v>
      </c>
      <c r="J19" s="5" t="s">
        <v>31</v>
      </c>
      <c r="K19" s="5" t="s">
        <v>31</v>
      </c>
      <c r="L19" s="5" t="s">
        <v>31</v>
      </c>
      <c r="M19" s="5" t="s">
        <v>31</v>
      </c>
      <c r="P19" s="6">
        <f t="shared" si="2"/>
        <v>2.3760000000000003</v>
      </c>
      <c r="Q19" s="6">
        <f t="shared" si="3"/>
        <v>0.32400000000000007</v>
      </c>
    </row>
    <row r="20" spans="1:17">
      <c r="A20" s="10">
        <v>15</v>
      </c>
      <c r="B20">
        <v>3.39</v>
      </c>
      <c r="C20" s="3">
        <f t="shared" si="0"/>
        <v>4.5200000000000005</v>
      </c>
      <c r="D20" s="4">
        <f t="shared" si="1"/>
        <v>2.2600000000000002</v>
      </c>
      <c r="E20" s="5" t="s">
        <v>35</v>
      </c>
      <c r="F20" s="5" t="s">
        <v>31</v>
      </c>
      <c r="G20" s="5" t="s">
        <v>31</v>
      </c>
      <c r="H20" s="5" t="s">
        <v>31</v>
      </c>
      <c r="I20" s="5" t="s">
        <v>31</v>
      </c>
      <c r="J20" s="5" t="s">
        <v>31</v>
      </c>
      <c r="K20" s="5" t="s">
        <v>31</v>
      </c>
      <c r="L20" s="5" t="s">
        <v>31</v>
      </c>
      <c r="M20" s="5" t="s">
        <v>31</v>
      </c>
      <c r="P20" s="6">
        <f t="shared" si="2"/>
        <v>2.4860000000000007</v>
      </c>
      <c r="Q20" s="6">
        <f t="shared" si="3"/>
        <v>0.33900000000000002</v>
      </c>
    </row>
    <row r="21" spans="1:17">
      <c r="A21">
        <v>16</v>
      </c>
      <c r="B21">
        <v>3.54</v>
      </c>
      <c r="C21" s="3">
        <f t="shared" si="0"/>
        <v>4.72</v>
      </c>
      <c r="D21" s="4">
        <f t="shared" si="1"/>
        <v>2.36</v>
      </c>
      <c r="E21" s="5" t="s">
        <v>35</v>
      </c>
      <c r="F21" s="5" t="s">
        <v>31</v>
      </c>
      <c r="G21" s="5" t="s">
        <v>31</v>
      </c>
      <c r="H21" s="5" t="s">
        <v>31</v>
      </c>
      <c r="I21" s="5" t="s">
        <v>31</v>
      </c>
      <c r="J21" s="5" t="s">
        <v>31</v>
      </c>
      <c r="K21" s="5" t="s">
        <v>31</v>
      </c>
      <c r="L21" s="5" t="s">
        <v>31</v>
      </c>
      <c r="M21" s="5" t="s">
        <v>31</v>
      </c>
      <c r="P21" s="6">
        <f t="shared" si="2"/>
        <v>2.5960000000000001</v>
      </c>
      <c r="Q21" s="6">
        <f t="shared" si="3"/>
        <v>0.35400000000000004</v>
      </c>
    </row>
    <row r="22" spans="1:17">
      <c r="A22">
        <v>17</v>
      </c>
      <c r="B22">
        <v>3.69</v>
      </c>
      <c r="C22" s="3">
        <f t="shared" si="0"/>
        <v>4.92</v>
      </c>
      <c r="D22" s="4">
        <f t="shared" si="1"/>
        <v>2.46</v>
      </c>
      <c r="E22" s="5" t="s">
        <v>35</v>
      </c>
      <c r="F22" s="5" t="s">
        <v>31</v>
      </c>
      <c r="G22" s="5" t="s">
        <v>31</v>
      </c>
      <c r="H22" s="5" t="s">
        <v>31</v>
      </c>
      <c r="I22" s="5" t="s">
        <v>31</v>
      </c>
      <c r="J22" s="5" t="s">
        <v>31</v>
      </c>
      <c r="K22" s="5" t="s">
        <v>31</v>
      </c>
      <c r="L22" s="5" t="s">
        <v>31</v>
      </c>
      <c r="M22" s="5" t="s">
        <v>31</v>
      </c>
      <c r="P22" s="6">
        <f t="shared" si="2"/>
        <v>2.706</v>
      </c>
      <c r="Q22" s="6">
        <f t="shared" si="3"/>
        <v>0.36899999999999999</v>
      </c>
    </row>
    <row r="23" spans="1:17">
      <c r="A23">
        <v>18</v>
      </c>
      <c r="B23">
        <v>3.84</v>
      </c>
      <c r="C23" s="3">
        <f t="shared" si="0"/>
        <v>5.12</v>
      </c>
      <c r="D23" s="4">
        <f t="shared" si="1"/>
        <v>2.56</v>
      </c>
      <c r="E23" s="5" t="s">
        <v>35</v>
      </c>
      <c r="F23" s="5" t="s">
        <v>31</v>
      </c>
      <c r="G23" s="5" t="s">
        <v>31</v>
      </c>
      <c r="H23" s="5" t="s">
        <v>31</v>
      </c>
      <c r="I23" s="5" t="s">
        <v>31</v>
      </c>
      <c r="J23" s="5" t="s">
        <v>31</v>
      </c>
      <c r="K23" s="5" t="s">
        <v>31</v>
      </c>
      <c r="L23" s="5" t="s">
        <v>31</v>
      </c>
      <c r="M23" s="5" t="s">
        <v>31</v>
      </c>
      <c r="P23" s="6">
        <f t="shared" si="2"/>
        <v>2.8160000000000003</v>
      </c>
      <c r="Q23" s="6">
        <f t="shared" si="3"/>
        <v>0.38400000000000001</v>
      </c>
    </row>
    <row r="24" spans="1:17">
      <c r="A24">
        <v>19</v>
      </c>
      <c r="B24">
        <v>3.99</v>
      </c>
      <c r="C24" s="3">
        <f t="shared" si="0"/>
        <v>5.32</v>
      </c>
      <c r="D24" s="4">
        <f t="shared" si="1"/>
        <v>2.66</v>
      </c>
      <c r="E24" s="5" t="s">
        <v>35</v>
      </c>
      <c r="F24" s="5" t="s">
        <v>31</v>
      </c>
      <c r="G24" s="5" t="s">
        <v>31</v>
      </c>
      <c r="H24" s="5" t="s">
        <v>31</v>
      </c>
      <c r="I24" s="5" t="s">
        <v>31</v>
      </c>
      <c r="J24" s="5" t="s">
        <v>31</v>
      </c>
      <c r="K24" s="5" t="s">
        <v>31</v>
      </c>
      <c r="L24" s="5" t="s">
        <v>31</v>
      </c>
      <c r="M24" s="5" t="s">
        <v>31</v>
      </c>
      <c r="P24" s="6">
        <f t="shared" si="2"/>
        <v>2.9260000000000006</v>
      </c>
      <c r="Q24" s="6">
        <f t="shared" si="3"/>
        <v>0.39900000000000002</v>
      </c>
    </row>
    <row r="25" spans="1:17">
      <c r="A25">
        <v>20</v>
      </c>
      <c r="B25">
        <v>4.1399999999999997</v>
      </c>
      <c r="C25" s="3">
        <f t="shared" si="0"/>
        <v>5.52</v>
      </c>
      <c r="D25" s="4">
        <f t="shared" si="1"/>
        <v>2.76</v>
      </c>
      <c r="E25" s="5" t="s">
        <v>35</v>
      </c>
      <c r="F25" s="5" t="s">
        <v>31</v>
      </c>
      <c r="G25" s="5" t="s">
        <v>31</v>
      </c>
      <c r="H25" s="5" t="s">
        <v>31</v>
      </c>
      <c r="I25" s="5" t="s">
        <v>31</v>
      </c>
      <c r="J25" s="5" t="s">
        <v>31</v>
      </c>
      <c r="K25" s="5" t="s">
        <v>31</v>
      </c>
      <c r="L25" s="5" t="s">
        <v>31</v>
      </c>
      <c r="M25" s="5" t="s">
        <v>31</v>
      </c>
      <c r="P25" s="6">
        <f t="shared" si="2"/>
        <v>3.036</v>
      </c>
      <c r="Q25" s="6">
        <f t="shared" si="3"/>
        <v>0.41399999999999998</v>
      </c>
    </row>
    <row r="26" spans="1:17">
      <c r="A26">
        <v>21</v>
      </c>
      <c r="B26">
        <v>4.29</v>
      </c>
      <c r="C26" s="3">
        <f t="shared" si="0"/>
        <v>5.72</v>
      </c>
      <c r="D26" s="4">
        <f t="shared" si="1"/>
        <v>2.86</v>
      </c>
      <c r="E26" s="5" t="s">
        <v>35</v>
      </c>
      <c r="F26" s="5" t="s">
        <v>31</v>
      </c>
      <c r="G26" s="5" t="s">
        <v>31</v>
      </c>
      <c r="H26" s="5" t="s">
        <v>31</v>
      </c>
      <c r="I26" s="5" t="s">
        <v>31</v>
      </c>
      <c r="J26" s="5" t="s">
        <v>31</v>
      </c>
      <c r="K26" s="5" t="s">
        <v>31</v>
      </c>
      <c r="L26" s="5" t="s">
        <v>31</v>
      </c>
      <c r="M26" s="5" t="s">
        <v>31</v>
      </c>
      <c r="P26" s="6">
        <f t="shared" si="2"/>
        <v>3.1459999999999999</v>
      </c>
      <c r="Q26" s="6">
        <f t="shared" si="3"/>
        <v>0.42900000000000005</v>
      </c>
    </row>
    <row r="27" spans="1:17">
      <c r="A27">
        <v>22</v>
      </c>
      <c r="B27">
        <v>4.4400000000000004</v>
      </c>
      <c r="C27" s="3">
        <f t="shared" si="0"/>
        <v>5.9200000000000008</v>
      </c>
      <c r="D27" s="4">
        <f t="shared" si="1"/>
        <v>2.9600000000000004</v>
      </c>
      <c r="E27" s="17"/>
      <c r="F27" s="5" t="s">
        <v>31</v>
      </c>
      <c r="G27" s="5" t="s">
        <v>31</v>
      </c>
      <c r="H27" s="5" t="s">
        <v>31</v>
      </c>
      <c r="I27" s="5" t="s">
        <v>31</v>
      </c>
      <c r="J27" s="5" t="s">
        <v>31</v>
      </c>
      <c r="K27" s="5" t="s">
        <v>31</v>
      </c>
      <c r="L27" s="5" t="s">
        <v>31</v>
      </c>
      <c r="M27" s="5" t="s">
        <v>31</v>
      </c>
      <c r="P27" s="6"/>
      <c r="Q27" s="6"/>
    </row>
    <row r="28" spans="1:17">
      <c r="A28">
        <v>23</v>
      </c>
      <c r="B28">
        <v>4.59</v>
      </c>
      <c r="C28" s="3">
        <f t="shared" si="0"/>
        <v>6.12</v>
      </c>
      <c r="D28" s="4">
        <f t="shared" si="1"/>
        <v>3.06</v>
      </c>
      <c r="F28" s="5" t="s">
        <v>31</v>
      </c>
      <c r="G28" s="5" t="s">
        <v>31</v>
      </c>
      <c r="H28" s="5" t="s">
        <v>31</v>
      </c>
      <c r="I28" s="5" t="s">
        <v>31</v>
      </c>
      <c r="J28" s="5" t="s">
        <v>31</v>
      </c>
      <c r="K28" s="5" t="s">
        <v>31</v>
      </c>
      <c r="L28" s="5" t="s">
        <v>31</v>
      </c>
      <c r="M28" s="5" t="s">
        <v>31</v>
      </c>
    </row>
    <row r="29" spans="1:17">
      <c r="B29" t="s">
        <v>36</v>
      </c>
    </row>
    <row r="31" spans="1:17">
      <c r="B31" t="s">
        <v>37</v>
      </c>
    </row>
    <row r="35" spans="1:6" ht="21">
      <c r="B35" s="11" t="s">
        <v>38</v>
      </c>
      <c r="C35" s="12" t="s">
        <v>39</v>
      </c>
      <c r="D35" t="s">
        <v>40</v>
      </c>
      <c r="F35" t="s">
        <v>41</v>
      </c>
    </row>
    <row r="36" spans="1:6">
      <c r="A36">
        <v>1.57</v>
      </c>
      <c r="B36" s="13" t="s">
        <v>42</v>
      </c>
      <c r="C36" s="13">
        <f>A36*C39</f>
        <v>7.5359999999999996</v>
      </c>
      <c r="D36" s="14" t="s">
        <v>43</v>
      </c>
      <c r="E36" s="6">
        <f>C36*SQRT(2)</f>
        <v>10.657513406043645</v>
      </c>
      <c r="F36" s="4">
        <f>4*C36/3</f>
        <v>10.048</v>
      </c>
    </row>
    <row r="37" spans="1:6">
      <c r="B37" s="15" t="s">
        <v>44</v>
      </c>
      <c r="C37" s="15">
        <v>3</v>
      </c>
      <c r="D37" s="16" t="s">
        <v>43</v>
      </c>
      <c r="E37" s="6">
        <f t="shared" ref="E37:E40" si="4">C37*SQRT(2)</f>
        <v>4.2426406871192857</v>
      </c>
      <c r="F37" s="4">
        <f>4*C37/3</f>
        <v>4</v>
      </c>
    </row>
    <row r="38" spans="1:6">
      <c r="B38" s="15" t="s">
        <v>45</v>
      </c>
      <c r="C38" s="15">
        <v>2.4</v>
      </c>
      <c r="D38" s="16" t="s">
        <v>43</v>
      </c>
      <c r="E38" s="6">
        <f t="shared" si="4"/>
        <v>3.3941125496954281</v>
      </c>
      <c r="F38" s="4">
        <f>4*C38/3</f>
        <v>3.1999999999999997</v>
      </c>
    </row>
    <row r="39" spans="1:6">
      <c r="B39" s="13" t="s">
        <v>46</v>
      </c>
      <c r="C39" s="13">
        <v>4.8</v>
      </c>
      <c r="D39" s="14" t="s">
        <v>43</v>
      </c>
      <c r="E39" s="6">
        <f t="shared" si="4"/>
        <v>6.7882250993908562</v>
      </c>
      <c r="F39" s="4">
        <f>4*C39/3</f>
        <v>6.3999999999999995</v>
      </c>
    </row>
    <row r="40" spans="1:6">
      <c r="B40" s="13" t="s">
        <v>47</v>
      </c>
      <c r="C40" s="13">
        <v>1</v>
      </c>
      <c r="D40" s="14" t="s">
        <v>48</v>
      </c>
      <c r="E40" s="6">
        <f t="shared" si="4"/>
        <v>1.4142135623730951</v>
      </c>
      <c r="F40" s="4">
        <f>4*C40/3</f>
        <v>1.3333333333333333</v>
      </c>
    </row>
    <row r="44" spans="1:6">
      <c r="C44">
        <v>3.5000000000000003E-2</v>
      </c>
      <c r="D44">
        <f>C44/3</f>
        <v>1.1666666666666667E-2</v>
      </c>
    </row>
  </sheetData>
  <conditionalFormatting sqref="E27 E6:N6 E7:F26 F27:F28 M7:N7 G7:L28 N8:N27 M8:M28">
    <cfRule type="cellIs" dxfId="6" priority="11" operator="equal">
      <formula>"Completed"</formula>
    </cfRule>
  </conditionalFormatting>
  <conditionalFormatting sqref="E27 E6:N6 E7:F26 F27:F28 M7:N7 G7:L28 N8:N27 M8:M28">
    <cfRule type="cellIs" dxfId="5" priority="10" operator="equal">
      <formula>"Incomplete"</formula>
    </cfRule>
  </conditionalFormatting>
  <conditionalFormatting sqref="E16:F16 E22:F22 E14:F14 E20:F20 E24:F24 N24 I7:I28 K14:K28 N14 N20 N22 N16">
    <cfRule type="cellIs" dxfId="4" priority="9" operator="equal">
      <formula>"Completed"</formula>
    </cfRule>
  </conditionalFormatting>
  <conditionalFormatting sqref="E16:F16 E22:F22 E14:F14 E20:F20 E24:F24 N24 I7:I28 K14:K28 N14 N20 N22 N16">
    <cfRule type="cellIs" dxfId="3" priority="8" operator="equal">
      <formula>"Incomplete"</formula>
    </cfRule>
  </conditionalFormatting>
  <conditionalFormatting sqref="E27 E6:N6 E7:F26 F27:F28 M7:N7 G7:L28 N8:N27 M8:M28">
    <cfRule type="cellIs" dxfId="2" priority="5" operator="equal">
      <formula>"Current Limit"</formula>
    </cfRule>
  </conditionalFormatting>
  <conditionalFormatting sqref="E6:E17">
    <cfRule type="cellIs" dxfId="1" priority="2" operator="equal">
      <formula>"Completed"</formula>
    </cfRule>
  </conditionalFormatting>
  <conditionalFormatting sqref="E6:E17">
    <cfRule type="cellIs" dxfId="0" priority="1" operator="equal">
      <formula>"Incomplete"</formula>
    </cfRule>
  </conditionalFormatting>
  <dataValidations count="2">
    <dataValidation type="list" allowBlank="1" showInputMessage="1" showErrorMessage="1" sqref="E18:E27 N6:N27 F6:M28" xr:uid="{E900629D-0D48-4DE6-885C-ABA2F78C7D87}">
      <formula1>"Completed, Incomplete"</formula1>
    </dataValidation>
    <dataValidation type="list" allowBlank="1" showInputMessage="1" showErrorMessage="1" sqref="E6:E17" xr:uid="{1D2A298B-7D4F-495B-8158-4AA9D1D5ACCF}">
      <formula1>"Completed, Incomplete, Not Considered"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422116-4676-4627-a37e-723476f6f35a" xsi:nil="true"/>
    <lcf76f155ced4ddcb4097134ff3c332f xmlns="2d0bc5df-280f-46b8-8a75-b39f1b27a60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6C6D27B334EC4E9248E61BC62A93B4" ma:contentTypeVersion="12" ma:contentTypeDescription="Een nieuw document maken." ma:contentTypeScope="" ma:versionID="afc23cc95be2785cc8cba3fc41ed3f06">
  <xsd:schema xmlns:xsd="http://www.w3.org/2001/XMLSchema" xmlns:xs="http://www.w3.org/2001/XMLSchema" xmlns:p="http://schemas.microsoft.com/office/2006/metadata/properties" xmlns:ns2="2d0bc5df-280f-46b8-8a75-b39f1b27a606" xmlns:ns3="c8422116-4676-4627-a37e-723476f6f35a" targetNamespace="http://schemas.microsoft.com/office/2006/metadata/properties" ma:root="true" ma:fieldsID="87157cb54a889534990077931eb9ce6d" ns2:_="" ns3:_="">
    <xsd:import namespace="2d0bc5df-280f-46b8-8a75-b39f1b27a606"/>
    <xsd:import namespace="c8422116-4676-4627-a37e-723476f6f3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bc5df-280f-46b8-8a75-b39f1b27a6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0d2f2e1c-c095-4710-afda-8e7acdb03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422116-4676-4627-a37e-723476f6f35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3cd566c-19b6-4053-b877-8716c6f53747}" ma:internalName="TaxCatchAll" ma:showField="CatchAllData" ma:web="c8422116-4676-4627-a37e-723476f6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067C49-DE3F-4B1B-94D4-E1DC67DD1E90}"/>
</file>

<file path=customXml/itemProps2.xml><?xml version="1.0" encoding="utf-8"?>
<ds:datastoreItem xmlns:ds="http://schemas.openxmlformats.org/officeDocument/2006/customXml" ds:itemID="{0DED32E5-244F-49D2-8D29-69DEEA04D416}"/>
</file>

<file path=customXml/itemProps3.xml><?xml version="1.0" encoding="utf-8"?>
<ds:datastoreItem xmlns:ds="http://schemas.openxmlformats.org/officeDocument/2006/customXml" ds:itemID="{D22B6B4B-3F0C-43D8-8050-064D5D4E42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Pavan Dhulipala</cp:lastModifiedBy>
  <cp:revision/>
  <dcterms:created xsi:type="dcterms:W3CDTF">2025-07-03T15:50:45Z</dcterms:created>
  <dcterms:modified xsi:type="dcterms:W3CDTF">2025-07-04T15:47:51Z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0x010100B16C6D27B334EC4E9248E61BC62A93B4</vt:lpwstr>
  </property>
  <property fmtid="{D5CDD505-2E9C-101B-9397-08002B2CF9AE}" pid="3" name="MediaServiceImageTags">
    <vt:lpwstr/>
  </property>
</Properties>
</file>