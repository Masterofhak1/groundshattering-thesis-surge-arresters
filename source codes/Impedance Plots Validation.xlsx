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van\Desktop\Thesis\Modelling\With actual measurements\"/>
    </mc:Choice>
  </mc:AlternateContent>
  <xr:revisionPtr revIDLastSave="0" documentId="13_ncr:1_{044009FE-DA24-40A5-95E9-394BC1B336EF}" xr6:coauthVersionLast="47" xr6:coauthVersionMax="47" xr10:uidLastSave="{00000000-0000-0000-0000-000000000000}"/>
  <bookViews>
    <workbookView xWindow="28680" yWindow="-120" windowWidth="29040" windowHeight="15720" xr2:uid="{177DF69D-CD57-4D2A-B09D-60BEB86B5C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E2" i="1"/>
  <c r="D2" i="1"/>
  <c r="E3" i="1"/>
  <c r="F4" i="1"/>
  <c r="F7" i="1"/>
  <c r="D3" i="1"/>
  <c r="D4" i="1"/>
  <c r="E4" i="1" s="1"/>
  <c r="D5" i="1"/>
  <c r="F5" i="1" s="1"/>
  <c r="D6" i="1"/>
  <c r="F6" i="1" s="1"/>
  <c r="D7" i="1"/>
  <c r="E7" i="1" s="1"/>
  <c r="D8" i="1"/>
  <c r="F8" i="1" s="1"/>
  <c r="D9" i="1"/>
  <c r="F9" i="1" s="1"/>
  <c r="E9" i="1" l="1"/>
  <c r="E8" i="1"/>
  <c r="E6" i="1"/>
  <c r="E5" i="1"/>
  <c r="F3" i="1"/>
</calcChain>
</file>

<file path=xl/sharedStrings.xml><?xml version="1.0" encoding="utf-8"?>
<sst xmlns="http://schemas.openxmlformats.org/spreadsheetml/2006/main" count="6" uniqueCount="6">
  <si>
    <t>R_linear</t>
  </si>
  <si>
    <t>Cs</t>
  </si>
  <si>
    <t>Freq</t>
  </si>
  <si>
    <t>R_equ</t>
  </si>
  <si>
    <t>|X_C|</t>
  </si>
  <si>
    <t>|X_equ|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</si>
</sst>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546138269744405"/>
          <c:y val="5.3390088897088205E-2"/>
          <c:w val="0.84600026023322283"/>
          <c:h val="0.79360041417266403"/>
        </c:manualLayout>
      </c:layout>
      <c:scatterChart>
        <c:scatterStyle val="smooth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12700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Sheet1!$A$2:$A$9</c:f>
              <c:numCache>
                <c:formatCode>General</c:formatCode>
                <c:ptCount val="8"/>
                <c:pt idx="0">
                  <c:v>10</c:v>
                </c:pt>
                <c:pt idx="1">
                  <c:v>17</c:v>
                </c:pt>
                <c:pt idx="2">
                  <c:v>27</c:v>
                </c:pt>
                <c:pt idx="3">
                  <c:v>50</c:v>
                </c:pt>
                <c:pt idx="4">
                  <c:v>100</c:v>
                </c:pt>
                <c:pt idx="5">
                  <c:v>150</c:v>
                </c:pt>
                <c:pt idx="6">
                  <c:v>300</c:v>
                </c:pt>
                <c:pt idx="7">
                  <c:v>500</c:v>
                </c:pt>
              </c:numCache>
            </c:numRef>
          </c:xVal>
          <c:yVal>
            <c:numRef>
              <c:f>Sheet1!$E$2:$E$9</c:f>
              <c:numCache>
                <c:formatCode>0.00E+00</c:formatCode>
                <c:ptCount val="8"/>
                <c:pt idx="0">
                  <c:v>1.6190003409506031</c:v>
                </c:pt>
                <c:pt idx="1">
                  <c:v>1.6923827162025946</c:v>
                </c:pt>
                <c:pt idx="2">
                  <c:v>0.88313721584045501</c:v>
                </c:pt>
                <c:pt idx="3">
                  <c:v>0.30774517131123019</c:v>
                </c:pt>
                <c:pt idx="4">
                  <c:v>0.10680840421568014</c:v>
                </c:pt>
                <c:pt idx="5">
                  <c:v>6.1336273452694448E-2</c:v>
                </c:pt>
                <c:pt idx="6">
                  <c:v>2.171573336171043E-2</c:v>
                </c:pt>
                <c:pt idx="7">
                  <c:v>1.5429996456690473E-2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52E-4EC2-B4B7-9249354C7F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9652271"/>
        <c:axId val="1849653231"/>
      </c:scatterChart>
      <c:valAx>
        <c:axId val="1849652271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Frequency [Hz]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653231"/>
        <c:crosses val="autoZero"/>
        <c:crossBetween val="midCat"/>
      </c:valAx>
      <c:valAx>
        <c:axId val="1849653231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Real Impedance [</a:t>
                </a:r>
                <a:r>
                  <a:rPr lang="en-US" sz="1000" b="0" i="0" u="none" strike="noStrike" baseline="0">
                    <a:effectLst/>
                  </a:rPr>
                  <a:t>M</a:t>
                </a:r>
                <a:r>
                  <a:rPr lang="el-GR" sz="1000" b="0" i="0" u="none" strike="noStrike" baseline="0">
                    <a:effectLst/>
                  </a:rPr>
                  <a:t>Ω</a:t>
                </a:r>
                <a:r>
                  <a:rPr lang="en-US" sz="1000" b="0" i="0" u="none" strike="noStrike" baseline="0">
                    <a:effectLst/>
                  </a:rPr>
                  <a:t>]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0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652271"/>
        <c:crosses val="autoZero"/>
        <c:crossBetween val="midCat"/>
      </c:valAx>
      <c:spPr>
        <a:noFill/>
        <a:ln>
          <a:solidFill>
            <a:schemeClr val="bg2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117050761550393"/>
          <c:y val="5.3501692142518667E-2"/>
          <c:w val="0.85075616491639638"/>
          <c:h val="0.79002534609384689"/>
        </c:manualLayout>
      </c:layout>
      <c:scatterChart>
        <c:scatterStyle val="smoothMarker"/>
        <c:varyColors val="0"/>
        <c:ser>
          <c:idx val="0"/>
          <c:order val="0"/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Sheet1!$A$2:$A$9</c:f>
              <c:numCache>
                <c:formatCode>General</c:formatCode>
                <c:ptCount val="8"/>
                <c:pt idx="0">
                  <c:v>10</c:v>
                </c:pt>
                <c:pt idx="1">
                  <c:v>17</c:v>
                </c:pt>
                <c:pt idx="2">
                  <c:v>27</c:v>
                </c:pt>
                <c:pt idx="3">
                  <c:v>50</c:v>
                </c:pt>
                <c:pt idx="4">
                  <c:v>100</c:v>
                </c:pt>
                <c:pt idx="5">
                  <c:v>150</c:v>
                </c:pt>
                <c:pt idx="6">
                  <c:v>300</c:v>
                </c:pt>
                <c:pt idx="7">
                  <c:v>500</c:v>
                </c:pt>
              </c:numCache>
            </c:numRef>
          </c:xVal>
          <c:yVal>
            <c:numRef>
              <c:f>Sheet1!$F$2:$F$9</c:f>
              <c:numCache>
                <c:formatCode>0.00E+00</c:formatCode>
                <c:ptCount val="8"/>
                <c:pt idx="0">
                  <c:v>26.861850950871901</c:v>
                </c:pt>
                <c:pt idx="1">
                  <c:v>16.480933834143986</c:v>
                </c:pt>
                <c:pt idx="2">
                  <c:v>10.921983102187419</c:v>
                </c:pt>
                <c:pt idx="3">
                  <c:v>5.7385931813223827</c:v>
                </c:pt>
                <c:pt idx="4">
                  <c:v>2.7897742449486667</c:v>
                </c:pt>
                <c:pt idx="5">
                  <c:v>1.9354411623031547</c:v>
                </c:pt>
                <c:pt idx="6">
                  <c:v>0.97393061135094394</c:v>
                </c:pt>
                <c:pt idx="7">
                  <c:v>0.58237567830793491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D8D-43BB-9724-DA91B4BF8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0065967"/>
        <c:axId val="1850066927"/>
      </c:scatterChart>
      <c:valAx>
        <c:axId val="1850065967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Frequency [Hz]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066927"/>
        <c:crosses val="autoZero"/>
        <c:crossBetween val="midCat"/>
      </c:valAx>
      <c:valAx>
        <c:axId val="1850066927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Capacitive Reactance [M</a:t>
                </a:r>
                <a:r>
                  <a:rPr lang="el-GR" sz="1000" b="0" i="0" u="none" strike="noStrike" baseline="0">
                    <a:effectLst/>
                  </a:rPr>
                  <a:t>Ω</a:t>
                </a:r>
                <a:r>
                  <a:rPr lang="en-US" sz="1000" b="0" i="0" u="none" strike="noStrike" baseline="0">
                    <a:effectLst/>
                  </a:rPr>
                  <a:t>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065967"/>
        <c:crosses val="autoZero"/>
        <c:crossBetween val="midCat"/>
      </c:valAx>
      <c:spPr>
        <a:noFill/>
        <a:ln>
          <a:solidFill>
            <a:schemeClr val="bg2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Sheet1!$A$2:$A$9</c:f>
              <c:numCache>
                <c:formatCode>General</c:formatCode>
                <c:ptCount val="8"/>
                <c:pt idx="0">
                  <c:v>10</c:v>
                </c:pt>
                <c:pt idx="1">
                  <c:v>17</c:v>
                </c:pt>
                <c:pt idx="2">
                  <c:v>27</c:v>
                </c:pt>
                <c:pt idx="3">
                  <c:v>50</c:v>
                </c:pt>
                <c:pt idx="4">
                  <c:v>100</c:v>
                </c:pt>
                <c:pt idx="5">
                  <c:v>150</c:v>
                </c:pt>
                <c:pt idx="6">
                  <c:v>300</c:v>
                </c:pt>
                <c:pt idx="7">
                  <c:v>500</c:v>
                </c:pt>
              </c:numCache>
            </c:numRef>
          </c:xVal>
          <c:yVal>
            <c:numRef>
              <c:f>Sheet1!$C$2:$C$9</c:f>
              <c:numCache>
                <c:formatCode>0.00E+00</c:formatCode>
                <c:ptCount val="8"/>
                <c:pt idx="0">
                  <c:v>5.9034980073050902E-10</c:v>
                </c:pt>
                <c:pt idx="1">
                  <c:v>5.6212625870271299E-10</c:v>
                </c:pt>
                <c:pt idx="2">
                  <c:v>5.3619731723610598E-10</c:v>
                </c:pt>
                <c:pt idx="3">
                  <c:v>5.5309215762910598E-10</c:v>
                </c:pt>
                <c:pt idx="4">
                  <c:v>5.6965898435144698E-10</c:v>
                </c:pt>
                <c:pt idx="5">
                  <c:v>5.4766242470836703E-10</c:v>
                </c:pt>
                <c:pt idx="6">
                  <c:v>5.4444623901427204E-10</c:v>
                </c:pt>
                <c:pt idx="7">
                  <c:v>5.4618798031816298E-10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5CF-4725-8A92-E3B9419259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0276160"/>
        <c:axId val="1300276640"/>
      </c:scatterChart>
      <c:valAx>
        <c:axId val="1300276160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300276640"/>
        <c:crosses val="autoZero"/>
        <c:crossBetween val="midCat"/>
      </c:valAx>
      <c:valAx>
        <c:axId val="130027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300276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136525</xdr:colOff>
      <xdr:row>10</xdr:row>
      <xdr:rowOff>38100</xdr:rowOff>
    </xdr:from>
    <xdr:to>
      <xdr:col>8</xdr:col>
      <xdr:colOff>209551</xdr:colOff>
      <xdr:row>27</xdr:row>
      <xdr:rowOff>44450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A1158C9-8D25-A1D5-D6C2-8AE6EFA023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501650</xdr:colOff>
      <xdr:row>10</xdr:row>
      <xdr:rowOff>31750</xdr:rowOff>
    </xdr:from>
    <xdr:to>
      <xdr:col>17</xdr:col>
      <xdr:colOff>425450</xdr:colOff>
      <xdr:row>27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9A1070A-69C7-5DF5-57AE-0F7531C80A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220566</xdr:colOff>
      <xdr:row>11</xdr:row>
      <xdr:rowOff>44975</xdr:rowOff>
    </xdr:from>
    <xdr:to>
      <xdr:col>25</xdr:col>
      <xdr:colOff>525366</xdr:colOff>
      <xdr:row>26</xdr:row>
      <xdr:rowOff>3313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851A95-D22A-EF42-F645-99C1EFF051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DF79A-913C-470C-92E5-FF4A44BC2364}">
  <dimension ref="A1:F9"/>
  <sheetViews>
    <sheetView tabSelected="1" zoomScale="115" zoomScaleNormal="115" workbookViewId="0">
      <selection activeCell="M30" sqref="M30"/>
    </sheetView>
  </sheetViews>
  <sheetFormatPr defaultRowHeight="14.4" x14ac:dyDescent="0.3"/>
  <cols>
    <col min="2" max="2" width="11.88671875" bestFit="1" customWidth="1"/>
    <col min="6" max="6" width="11.44140625" bestFit="1" customWidth="1"/>
  </cols>
  <sheetData>
    <row r="1" spans="1:6" x14ac:dyDescent="0.3">
      <c r="A1" t="s">
        <v>2</v>
      </c>
      <c r="B1" t="s">
        <v>0</v>
      </c>
      <c r="C1" t="s">
        <v>1</v>
      </c>
      <c r="D1" t="s">
        <v>4</v>
      </c>
      <c r="E1" t="s">
        <v>3</v>
      </c>
      <c r="F1" t="s">
        <v>5</v>
      </c>
    </row>
    <row r="2" spans="1:6" x14ac:dyDescent="0.3">
      <c r="A2">
        <v>10</v>
      </c>
      <c r="B2">
        <v>447300831.44124001</v>
      </c>
      <c r="C2" s="2">
        <v>5.9034980073050902E-10</v>
      </c>
      <c r="D2" s="2">
        <f t="shared" ref="D2:D9" si="0">1/(2*PI()*A2*C2)</f>
        <v>26959430.306397032</v>
      </c>
      <c r="E2" s="2">
        <f t="shared" ref="E2:E9" si="1">((B2*D2^2)/(B2^2+D2^2))/1000000</f>
        <v>1.6190003409506031</v>
      </c>
      <c r="F2" s="2">
        <f t="shared" ref="F2:F9" si="2">((B2^2*D2)/(B2^2+D2^2))/1000000</f>
        <v>26.861850950871901</v>
      </c>
    </row>
    <row r="3" spans="1:6" x14ac:dyDescent="0.3">
      <c r="A3" s="1">
        <v>17</v>
      </c>
      <c r="B3">
        <v>162188692.11772001</v>
      </c>
      <c r="C3" s="2">
        <v>5.6212625870271299E-10</v>
      </c>
      <c r="D3" s="2">
        <f t="shared" si="0"/>
        <v>16654720.058087653</v>
      </c>
      <c r="E3" s="2">
        <f t="shared" si="1"/>
        <v>1.6923827162025946</v>
      </c>
      <c r="F3" s="2">
        <f t="shared" si="2"/>
        <v>16.480933834143986</v>
      </c>
    </row>
    <row r="4" spans="1:6" x14ac:dyDescent="0.3">
      <c r="A4" s="1">
        <v>27</v>
      </c>
      <c r="B4">
        <v>135958086.77613401</v>
      </c>
      <c r="C4" s="2">
        <v>5.3619731723610598E-10</v>
      </c>
      <c r="D4" s="2">
        <f t="shared" si="0"/>
        <v>10993392.418124398</v>
      </c>
      <c r="E4" s="2">
        <f t="shared" si="1"/>
        <v>0.88313721584045501</v>
      </c>
      <c r="F4" s="2">
        <f t="shared" si="2"/>
        <v>10.921983102187419</v>
      </c>
    </row>
    <row r="5" spans="1:6" x14ac:dyDescent="0.3">
      <c r="A5">
        <v>50</v>
      </c>
      <c r="B5">
        <v>107316578.35756899</v>
      </c>
      <c r="C5" s="2">
        <v>5.5309215762910598E-10</v>
      </c>
      <c r="D5" s="2">
        <f t="shared" si="0"/>
        <v>5755096.7192929126</v>
      </c>
      <c r="E5" s="2">
        <f t="shared" si="1"/>
        <v>0.30774517131123019</v>
      </c>
      <c r="F5" s="2">
        <f t="shared" si="2"/>
        <v>5.7385931813223827</v>
      </c>
    </row>
    <row r="6" spans="1:6" x14ac:dyDescent="0.3">
      <c r="A6">
        <v>100</v>
      </c>
      <c r="B6">
        <v>72974111.262358502</v>
      </c>
      <c r="C6" s="2">
        <v>5.6965898435144698E-10</v>
      </c>
      <c r="D6" s="2">
        <f t="shared" si="0"/>
        <v>2793863.4773414871</v>
      </c>
      <c r="E6" s="2">
        <f t="shared" si="1"/>
        <v>0.10680840421568014</v>
      </c>
      <c r="F6" s="2">
        <f t="shared" si="2"/>
        <v>2.7897742449486667</v>
      </c>
    </row>
    <row r="7" spans="1:6" x14ac:dyDescent="0.3">
      <c r="A7">
        <v>150</v>
      </c>
      <c r="B7">
        <v>61133394.973374099</v>
      </c>
      <c r="C7" s="2">
        <v>5.4766242470836703E-10</v>
      </c>
      <c r="D7" s="2">
        <f t="shared" si="0"/>
        <v>1937384.9767235252</v>
      </c>
      <c r="E7" s="2">
        <f t="shared" si="1"/>
        <v>6.1336273452694448E-2</v>
      </c>
      <c r="F7" s="2">
        <f t="shared" si="2"/>
        <v>1.9354411623031547</v>
      </c>
    </row>
    <row r="8" spans="1:6" x14ac:dyDescent="0.3">
      <c r="A8" s="1">
        <v>300</v>
      </c>
      <c r="B8">
        <v>43701605.328935198</v>
      </c>
      <c r="C8" s="2">
        <v>5.4444623901427204E-10</v>
      </c>
      <c r="D8" s="2">
        <f t="shared" si="0"/>
        <v>974414.80711390777</v>
      </c>
      <c r="E8" s="2">
        <f t="shared" si="1"/>
        <v>2.171573336171043E-2</v>
      </c>
      <c r="F8" s="2">
        <f t="shared" si="2"/>
        <v>0.97393061135094394</v>
      </c>
    </row>
    <row r="9" spans="1:6" x14ac:dyDescent="0.3">
      <c r="A9">
        <v>500</v>
      </c>
      <c r="B9">
        <v>21996085.120817799</v>
      </c>
      <c r="C9" s="2">
        <v>5.4618798031816298E-10</v>
      </c>
      <c r="D9" s="2">
        <f t="shared" si="0"/>
        <v>582784.49481508229</v>
      </c>
      <c r="E9" s="2">
        <f t="shared" si="1"/>
        <v>1.5429996456690473E-2</v>
      </c>
      <c r="F9" s="2">
        <f t="shared" si="2"/>
        <v>0.58237567830793491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8422116-4676-4627-a37e-723476f6f35a" xsi:nil="true"/>
    <lcf76f155ced4ddcb4097134ff3c332f xmlns="2d0bc5df-280f-46b8-8a75-b39f1b27a60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6C6D27B334EC4E9248E61BC62A93B4" ma:contentTypeVersion="12" ma:contentTypeDescription="Create a new document." ma:contentTypeScope="" ma:versionID="ad35d228136af1958a7b688ea2b5a61f">
  <xsd:schema xmlns:xsd="http://www.w3.org/2001/XMLSchema" xmlns:xs="http://www.w3.org/2001/XMLSchema" xmlns:p="http://schemas.microsoft.com/office/2006/metadata/properties" xmlns:ns2="2d0bc5df-280f-46b8-8a75-b39f1b27a606" xmlns:ns3="c8422116-4676-4627-a37e-723476f6f35a" targetNamespace="http://schemas.microsoft.com/office/2006/metadata/properties" ma:root="true" ma:fieldsID="fc9ad91a45321cb7468208bd236a17ef" ns2:_="" ns3:_="">
    <xsd:import namespace="2d0bc5df-280f-46b8-8a75-b39f1b27a606"/>
    <xsd:import namespace="c8422116-4676-4627-a37e-723476f6f3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0bc5df-280f-46b8-8a75-b39f1b27a6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d2f2e1c-c095-4710-afda-8e7acdb033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422116-4676-4627-a37e-723476f6f35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3cd566c-19b6-4053-b877-8716c6f53747}" ma:internalName="TaxCatchAll" ma:showField="CatchAllData" ma:web="c8422116-4676-4627-a37e-723476f6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82A5E5-71ED-4F9A-B392-7D20B55E10DD}">
  <ds:schemaRefs>
    <ds:schemaRef ds:uri="http://schemas.microsoft.com/office/2006/metadata/properties"/>
    <ds:schemaRef ds:uri="http://schemas.microsoft.com/office/infopath/2007/PartnerControls"/>
    <ds:schemaRef ds:uri="c8422116-4676-4627-a37e-723476f6f35a"/>
    <ds:schemaRef ds:uri="2d0bc5df-280f-46b8-8a75-b39f1b27a606"/>
  </ds:schemaRefs>
</ds:datastoreItem>
</file>

<file path=customXml/itemProps2.xml><?xml version="1.0" encoding="utf-8"?>
<ds:datastoreItem xmlns:ds="http://schemas.openxmlformats.org/officeDocument/2006/customXml" ds:itemID="{F29DD39D-C6BD-45FB-B2F4-516CDAFB9D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0bc5df-280f-46b8-8a75-b39f1b27a606"/>
    <ds:schemaRef ds:uri="c8422116-4676-4627-a37e-723476f6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A853A9B-206E-4306-9FB8-C3DD00723E1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Pratyush</dc:creator>
  <cp:lastModifiedBy>Pavan Dhulipala</cp:lastModifiedBy>
  <dcterms:created xsi:type="dcterms:W3CDTF">2025-06-16T16:47:59Z</dcterms:created>
  <dcterms:modified xsi:type="dcterms:W3CDTF">2025-08-01T10:07:29Z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0x010100B16C6D27B334EC4E9248E61BC62A93B4</vt:lpwstr>
  </property>
</Properties>
</file>